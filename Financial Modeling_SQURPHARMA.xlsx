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D:\kathy (DU)\6th semester\F-306\our report\"/>
    </mc:Choice>
  </mc:AlternateContent>
  <xr:revisionPtr revIDLastSave="0" documentId="13_ncr:1_{C39ACA73-B766-46DD-8B90-80ED2E3088F8}" xr6:coauthVersionLast="47" xr6:coauthVersionMax="47" xr10:uidLastSave="{00000000-0000-0000-0000-000000000000}"/>
  <bookViews>
    <workbookView xWindow="-108" yWindow="-108" windowWidth="23256" windowHeight="12456" xr2:uid="{00000000-000D-0000-FFFF-FFFF00000000}"/>
  </bookViews>
  <sheets>
    <sheet name="SQURPHARMA Earnings Model T-1" sheetId="1" r:id="rId1"/>
    <sheet name="Beta " sheetId="2" r:id="rId2"/>
    <sheet name="SR &amp; Volatility workings" sheetId="3" r:id="rId3"/>
    <sheet name="DDM" sheetId="4" r:id="rId4"/>
    <sheet name="PE" sheetId="5" r:id="rId5"/>
    <sheet name="Sensitivity Analysis" sheetId="6" r:id="rId6"/>
    <sheet name="Peer Comparison" sheetId="7" r:id="rId7"/>
    <sheet name="Altman Z Score" sheetId="8" r:id="rId8"/>
    <sheet name="Beneish Model" sheetId="9" r:id="rId9"/>
    <sheet name="Workings" sheetId="10" r:id="rId10"/>
  </sheets>
  <definedNames>
    <definedName name="DATA">#REF!</definedName>
    <definedName name="z">'SQURPHARMA Earnings Model T-1'!$AA$85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75" i="1" l="1"/>
  <c r="C4" i="4"/>
  <c r="C14" i="4" l="1"/>
  <c r="C15" i="4" s="1"/>
  <c r="AB18" i="1"/>
  <c r="AB90" i="1"/>
  <c r="Z44" i="1"/>
  <c r="Y44" i="1"/>
  <c r="X44" i="1"/>
  <c r="U44" i="1"/>
  <c r="T44" i="1"/>
  <c r="S44" i="1"/>
  <c r="V44" i="1"/>
  <c r="W44" i="1"/>
  <c r="E88" i="10"/>
  <c r="D88" i="10"/>
  <c r="C88" i="10"/>
  <c r="F87" i="10"/>
  <c r="E87" i="10"/>
  <c r="D87" i="10"/>
  <c r="C87" i="10"/>
  <c r="F86" i="10"/>
  <c r="E86" i="10"/>
  <c r="D86" i="10"/>
  <c r="C86" i="10"/>
  <c r="F85" i="10"/>
  <c r="E85" i="10"/>
  <c r="E89" i="10" s="1"/>
  <c r="D85" i="10"/>
  <c r="C85" i="10"/>
  <c r="C89" i="10" s="1"/>
  <c r="D84" i="10"/>
  <c r="F78" i="10"/>
  <c r="E78" i="10"/>
  <c r="D78" i="10"/>
  <c r="C78" i="10"/>
  <c r="F77" i="10"/>
  <c r="E77" i="10"/>
  <c r="D77" i="10"/>
  <c r="C77" i="10"/>
  <c r="F76" i="10"/>
  <c r="E76" i="10"/>
  <c r="C76" i="10"/>
  <c r="M75" i="10"/>
  <c r="M77" i="10" s="1"/>
  <c r="L75" i="10"/>
  <c r="L77" i="10" s="1"/>
  <c r="F75" i="10"/>
  <c r="E75" i="10"/>
  <c r="D75" i="10"/>
  <c r="F69" i="10"/>
  <c r="F68" i="10"/>
  <c r="S64" i="10"/>
  <c r="F55" i="10"/>
  <c r="E55" i="10"/>
  <c r="D55" i="10"/>
  <c r="C55" i="10"/>
  <c r="F46" i="10"/>
  <c r="E46" i="10"/>
  <c r="D46" i="10"/>
  <c r="C46" i="10"/>
  <c r="F37" i="10"/>
  <c r="E37" i="10"/>
  <c r="D37" i="10"/>
  <c r="C37" i="10"/>
  <c r="AM36" i="10"/>
  <c r="AL36" i="10"/>
  <c r="AK36" i="10"/>
  <c r="AJ36" i="10"/>
  <c r="AI36" i="10"/>
  <c r="AM35" i="10"/>
  <c r="AL35" i="10"/>
  <c r="AK35" i="10"/>
  <c r="AJ35" i="10"/>
  <c r="AI35" i="10"/>
  <c r="AL34" i="10"/>
  <c r="AK34" i="10"/>
  <c r="AJ34" i="10"/>
  <c r="AI34" i="10"/>
  <c r="F28" i="10"/>
  <c r="E28" i="10"/>
  <c r="D28" i="10"/>
  <c r="C28" i="10"/>
  <c r="AR27" i="10"/>
  <c r="AQ27" i="10"/>
  <c r="AP29" i="10" s="1"/>
  <c r="AP27" i="10"/>
  <c r="AL27" i="10"/>
  <c r="AG27" i="10"/>
  <c r="AJ31" i="10" s="1"/>
  <c r="AB27" i="10"/>
  <c r="W27" i="10"/>
  <c r="AM34" i="10" s="1"/>
  <c r="AC9" i="10"/>
  <c r="AG7" i="10" s="1"/>
  <c r="AI7" i="10" s="1"/>
  <c r="AD8" i="10"/>
  <c r="AJ7" i="10"/>
  <c r="AK7" i="10" s="1"/>
  <c r="AL7" i="10" s="1"/>
  <c r="AN7" i="10" s="1"/>
  <c r="AO7" i="10" s="1"/>
  <c r="AP7" i="10" s="1"/>
  <c r="AQ7" i="10" s="1"/>
  <c r="AS7" i="10" s="1"/>
  <c r="AT7" i="10" s="1"/>
  <c r="AU7" i="10" s="1"/>
  <c r="AV7" i="10" s="1"/>
  <c r="AF7" i="10"/>
  <c r="AF8" i="10" s="1"/>
  <c r="AE7" i="10"/>
  <c r="AE8" i="10" s="1"/>
  <c r="AC7" i="10"/>
  <c r="Y6" i="10"/>
  <c r="BH5" i="10"/>
  <c r="BG5" i="10"/>
  <c r="BF5" i="10"/>
  <c r="C5" i="10"/>
  <c r="Y4" i="10"/>
  <c r="Y7" i="10" s="1"/>
  <c r="V4" i="10"/>
  <c r="D36" i="9"/>
  <c r="D34" i="9"/>
  <c r="D33" i="9"/>
  <c r="D32" i="9"/>
  <c r="D30" i="9"/>
  <c r="C30" i="9"/>
  <c r="D29" i="9"/>
  <c r="D27" i="9"/>
  <c r="D26" i="9"/>
  <c r="D25" i="9"/>
  <c r="D16" i="9"/>
  <c r="D15" i="9"/>
  <c r="E11" i="7"/>
  <c r="F10" i="7"/>
  <c r="D10" i="7"/>
  <c r="C10" i="7"/>
  <c r="F9" i="7"/>
  <c r="D9" i="7"/>
  <c r="C9" i="7"/>
  <c r="F8" i="7"/>
  <c r="D8" i="7"/>
  <c r="C8" i="7"/>
  <c r="C11" i="7" s="1"/>
  <c r="F7" i="7"/>
  <c r="D7" i="7"/>
  <c r="F6" i="7"/>
  <c r="D6" i="7"/>
  <c r="D11" i="7" s="1"/>
  <c r="C6" i="7"/>
  <c r="F5" i="7"/>
  <c r="D5" i="7"/>
  <c r="C5" i="7"/>
  <c r="E12" i="6"/>
  <c r="F12" i="6" s="1"/>
  <c r="G12" i="6" s="1"/>
  <c r="R4" i="6"/>
  <c r="Q4" i="6"/>
  <c r="P4" i="6"/>
  <c r="O4" i="6"/>
  <c r="N4" i="6"/>
  <c r="R6" i="6" s="1"/>
  <c r="C7" i="6" s="1"/>
  <c r="E3" i="6"/>
  <c r="F3" i="6" s="1"/>
  <c r="G3" i="6" s="1"/>
  <c r="H3" i="6" s="1"/>
  <c r="I3" i="6" s="1"/>
  <c r="J3" i="6" s="1"/>
  <c r="D3" i="6"/>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J13" i="5"/>
  <c r="D13" i="5"/>
  <c r="D12" i="5"/>
  <c r="D11" i="5"/>
  <c r="D10" i="5"/>
  <c r="D9" i="5"/>
  <c r="D8" i="5"/>
  <c r="D7" i="5"/>
  <c r="D6" i="5"/>
  <c r="D5" i="5"/>
  <c r="D4" i="5"/>
  <c r="D3" i="5"/>
  <c r="C17" i="4"/>
  <c r="E47" i="3"/>
  <c r="F47" i="3" s="1"/>
  <c r="C47" i="3"/>
  <c r="F46" i="3"/>
  <c r="E46" i="3"/>
  <c r="C46" i="3"/>
  <c r="F45" i="3"/>
  <c r="E45" i="3"/>
  <c r="C45" i="3"/>
  <c r="F44" i="3"/>
  <c r="E44" i="3"/>
  <c r="C44" i="3"/>
  <c r="E43" i="3"/>
  <c r="F43" i="3" s="1"/>
  <c r="C43" i="3"/>
  <c r="E42" i="3"/>
  <c r="F42" i="3" s="1"/>
  <c r="C42" i="3"/>
  <c r="E41" i="3"/>
  <c r="F41" i="3" s="1"/>
  <c r="C41" i="3"/>
  <c r="F40" i="3"/>
  <c r="E40" i="3"/>
  <c r="C40" i="3"/>
  <c r="E39" i="3"/>
  <c r="F39" i="3" s="1"/>
  <c r="C39" i="3"/>
  <c r="E38" i="3"/>
  <c r="C38" i="3"/>
  <c r="F38" i="3" s="1"/>
  <c r="E37" i="3"/>
  <c r="C37" i="3"/>
  <c r="F36" i="3"/>
  <c r="E36" i="3"/>
  <c r="C36" i="3"/>
  <c r="E35" i="3"/>
  <c r="F35" i="3" s="1"/>
  <c r="C35" i="3"/>
  <c r="F34" i="3"/>
  <c r="E34" i="3"/>
  <c r="C34" i="3"/>
  <c r="F33" i="3"/>
  <c r="E33" i="3"/>
  <c r="C33" i="3"/>
  <c r="F32" i="3"/>
  <c r="E32" i="3"/>
  <c r="C32" i="3"/>
  <c r="E31" i="3"/>
  <c r="C31" i="3"/>
  <c r="E30" i="3"/>
  <c r="F30" i="3" s="1"/>
  <c r="C30" i="3"/>
  <c r="E29" i="3"/>
  <c r="F29" i="3" s="1"/>
  <c r="C29" i="3"/>
  <c r="F28" i="3"/>
  <c r="E28" i="3"/>
  <c r="C28" i="3"/>
  <c r="E27" i="3"/>
  <c r="F27" i="3" s="1"/>
  <c r="C27" i="3"/>
  <c r="E26" i="3"/>
  <c r="F26" i="3" s="1"/>
  <c r="C26" i="3"/>
  <c r="F25" i="3"/>
  <c r="E25" i="3"/>
  <c r="C25" i="3"/>
  <c r="F24" i="3"/>
  <c r="E24" i="3"/>
  <c r="C24" i="3"/>
  <c r="E23" i="3"/>
  <c r="C23" i="3"/>
  <c r="E22" i="3"/>
  <c r="C22" i="3"/>
  <c r="F22" i="3" s="1"/>
  <c r="E21" i="3"/>
  <c r="F21" i="3" s="1"/>
  <c r="C21" i="3"/>
  <c r="F20" i="3"/>
  <c r="E20" i="3"/>
  <c r="C20" i="3"/>
  <c r="E19" i="3"/>
  <c r="F19" i="3" s="1"/>
  <c r="C19" i="3"/>
  <c r="F18" i="3"/>
  <c r="E18" i="3"/>
  <c r="C18" i="3"/>
  <c r="E17" i="3"/>
  <c r="C17" i="3"/>
  <c r="F17" i="3" s="1"/>
  <c r="F16" i="3"/>
  <c r="E16" i="3"/>
  <c r="C16" i="3"/>
  <c r="E15" i="3"/>
  <c r="C15" i="3"/>
  <c r="E14" i="3"/>
  <c r="F14" i="3" s="1"/>
  <c r="C14" i="3"/>
  <c r="E13" i="3"/>
  <c r="F13" i="3" s="1"/>
  <c r="C13" i="3"/>
  <c r="F12" i="3"/>
  <c r="E12" i="3"/>
  <c r="C12" i="3"/>
  <c r="E11" i="3"/>
  <c r="C11" i="3"/>
  <c r="E10" i="3"/>
  <c r="F10" i="3" s="1"/>
  <c r="C10" i="3"/>
  <c r="E9" i="3"/>
  <c r="C9" i="3"/>
  <c r="F9" i="3" s="1"/>
  <c r="F8" i="3"/>
  <c r="E8" i="3"/>
  <c r="C8" i="3"/>
  <c r="E7" i="3"/>
  <c r="F7" i="3" s="1"/>
  <c r="C7" i="3"/>
  <c r="E6" i="3"/>
  <c r="C6" i="3"/>
  <c r="E5" i="3"/>
  <c r="F5" i="3" s="1"/>
  <c r="C5" i="3"/>
  <c r="F4" i="3"/>
  <c r="E4" i="3"/>
  <c r="C4" i="3"/>
  <c r="E3" i="3"/>
  <c r="C3" i="3"/>
  <c r="F50" i="2"/>
  <c r="D50" i="2"/>
  <c r="F49" i="2"/>
  <c r="D49" i="2"/>
  <c r="F48" i="2"/>
  <c r="D48" i="2"/>
  <c r="F47" i="2"/>
  <c r="D47" i="2"/>
  <c r="F46" i="2"/>
  <c r="D46" i="2"/>
  <c r="F45" i="2"/>
  <c r="D45" i="2"/>
  <c r="F44" i="2"/>
  <c r="D44" i="2"/>
  <c r="F43" i="2"/>
  <c r="D43" i="2"/>
  <c r="F42" i="2"/>
  <c r="D42" i="2"/>
  <c r="F41" i="2"/>
  <c r="D41" i="2"/>
  <c r="F40" i="2"/>
  <c r="D40" i="2"/>
  <c r="F39" i="2"/>
  <c r="D39" i="2"/>
  <c r="F38" i="2"/>
  <c r="D38" i="2"/>
  <c r="F37" i="2"/>
  <c r="D37" i="2"/>
  <c r="F36" i="2"/>
  <c r="D36" i="2"/>
  <c r="F35" i="2"/>
  <c r="D35" i="2"/>
  <c r="F34" i="2"/>
  <c r="D34" i="2"/>
  <c r="F33" i="2"/>
  <c r="D33" i="2"/>
  <c r="F32" i="2"/>
  <c r="D32" i="2"/>
  <c r="F31" i="2"/>
  <c r="D31" i="2"/>
  <c r="F30" i="2"/>
  <c r="D30" i="2"/>
  <c r="F29" i="2"/>
  <c r="D29" i="2"/>
  <c r="F28" i="2"/>
  <c r="D28" i="2"/>
  <c r="F27" i="2"/>
  <c r="D27" i="2"/>
  <c r="F26" i="2"/>
  <c r="D26" i="2"/>
  <c r="F25" i="2"/>
  <c r="D25" i="2"/>
  <c r="F24" i="2"/>
  <c r="D24" i="2"/>
  <c r="F23" i="2"/>
  <c r="D23" i="2"/>
  <c r="F22" i="2"/>
  <c r="D22" i="2"/>
  <c r="F21" i="2"/>
  <c r="D21" i="2"/>
  <c r="F20" i="2"/>
  <c r="D20" i="2"/>
  <c r="F19" i="2"/>
  <c r="D19" i="2"/>
  <c r="F18" i="2"/>
  <c r="D18" i="2"/>
  <c r="F17" i="2"/>
  <c r="D17" i="2"/>
  <c r="F16" i="2"/>
  <c r="D16" i="2"/>
  <c r="F15" i="2"/>
  <c r="D15" i="2"/>
  <c r="F14" i="2"/>
  <c r="D14" i="2"/>
  <c r="F13" i="2"/>
  <c r="D13" i="2"/>
  <c r="F12" i="2"/>
  <c r="D12" i="2"/>
  <c r="F11" i="2"/>
  <c r="D11" i="2"/>
  <c r="F10" i="2"/>
  <c r="D10" i="2"/>
  <c r="F9" i="2"/>
  <c r="D9" i="2"/>
  <c r="F8" i="2"/>
  <c r="D8" i="2"/>
  <c r="F7" i="2"/>
  <c r="D7" i="2"/>
  <c r="F6" i="2"/>
  <c r="D6" i="2"/>
  <c r="C265" i="1"/>
  <c r="C264" i="1"/>
  <c r="C271" i="1" s="1"/>
  <c r="Y245" i="1"/>
  <c r="Z245" i="1" s="1"/>
  <c r="Z146" i="1" s="1"/>
  <c r="X240" i="1"/>
  <c r="W240" i="1"/>
  <c r="H240" i="1"/>
  <c r="G240" i="1"/>
  <c r="F240" i="1"/>
  <c r="E240" i="1"/>
  <c r="D240" i="1"/>
  <c r="I239" i="1"/>
  <c r="G239" i="1"/>
  <c r="F239" i="1"/>
  <c r="E239" i="1"/>
  <c r="W238" i="1"/>
  <c r="Z228" i="1"/>
  <c r="C253" i="1" s="1"/>
  <c r="C284" i="1" s="1"/>
  <c r="Y228" i="1"/>
  <c r="W228" i="1"/>
  <c r="V228" i="1"/>
  <c r="Z225" i="1"/>
  <c r="Y225" i="1"/>
  <c r="X225" i="1"/>
  <c r="W225" i="1"/>
  <c r="V225" i="1"/>
  <c r="U225" i="1"/>
  <c r="T225" i="1"/>
  <c r="S225" i="1"/>
  <c r="Q225" i="1"/>
  <c r="P225" i="1"/>
  <c r="O225" i="1"/>
  <c r="N225" i="1"/>
  <c r="L225" i="1"/>
  <c r="J225" i="1"/>
  <c r="G225" i="1"/>
  <c r="E225" i="1"/>
  <c r="D225" i="1"/>
  <c r="W220" i="1"/>
  <c r="F4" i="6" s="1"/>
  <c r="AB218" i="1"/>
  <c r="M218" i="1"/>
  <c r="M240" i="1" s="1"/>
  <c r="I218" i="1"/>
  <c r="I240" i="1" s="1"/>
  <c r="Y217" i="1"/>
  <c r="Z217" i="1" s="1"/>
  <c r="T217" i="1"/>
  <c r="O217" i="1"/>
  <c r="P217" i="1" s="1"/>
  <c r="J217" i="1"/>
  <c r="K217" i="1" s="1"/>
  <c r="X214" i="1"/>
  <c r="S214" i="1"/>
  <c r="R214" i="1"/>
  <c r="N214" i="1"/>
  <c r="M214" i="1"/>
  <c r="I214" i="1"/>
  <c r="G214" i="1"/>
  <c r="Y213" i="1"/>
  <c r="Z213" i="1" s="1"/>
  <c r="T213" i="1"/>
  <c r="U213" i="1" s="1"/>
  <c r="V213" i="1" s="1"/>
  <c r="V212" i="1"/>
  <c r="K211" i="1"/>
  <c r="L211" i="1" s="1"/>
  <c r="Q210" i="1"/>
  <c r="J210" i="1"/>
  <c r="K210" i="1" s="1"/>
  <c r="T208" i="1"/>
  <c r="O208" i="1"/>
  <c r="J208" i="1"/>
  <c r="K208" i="1" s="1"/>
  <c r="L208" i="1" s="1"/>
  <c r="Y207" i="1"/>
  <c r="T207" i="1"/>
  <c r="O207" i="1"/>
  <c r="K207" i="1"/>
  <c r="X204" i="1"/>
  <c r="S204" i="1"/>
  <c r="R204" i="1"/>
  <c r="N204" i="1"/>
  <c r="M204" i="1"/>
  <c r="I204" i="1"/>
  <c r="Y202" i="1"/>
  <c r="V202" i="1"/>
  <c r="Q201" i="1"/>
  <c r="J201" i="1"/>
  <c r="Y200" i="1"/>
  <c r="Y61" i="1" s="1"/>
  <c r="T200" i="1"/>
  <c r="O200" i="1"/>
  <c r="J200" i="1"/>
  <c r="K200" i="1" s="1"/>
  <c r="Y199" i="1"/>
  <c r="Z199" i="1" s="1"/>
  <c r="T199" i="1"/>
  <c r="U199" i="1" s="1"/>
  <c r="O199" i="1"/>
  <c r="P199" i="1" s="1"/>
  <c r="J199" i="1"/>
  <c r="K199" i="1" s="1"/>
  <c r="Y196" i="1"/>
  <c r="T196" i="1"/>
  <c r="O196" i="1"/>
  <c r="P196" i="1" s="1"/>
  <c r="J196" i="1"/>
  <c r="K196" i="1" s="1"/>
  <c r="F195" i="1"/>
  <c r="AP194" i="1"/>
  <c r="AO194" i="1"/>
  <c r="AN194" i="1"/>
  <c r="AK194" i="1"/>
  <c r="AJ194" i="1"/>
  <c r="AI194" i="1"/>
  <c r="AF194" i="1"/>
  <c r="AE194" i="1"/>
  <c r="AD194" i="1"/>
  <c r="AA194" i="1"/>
  <c r="Y194" i="1"/>
  <c r="Z194" i="1" s="1"/>
  <c r="T194" i="1"/>
  <c r="O194" i="1"/>
  <c r="P194" i="1" s="1"/>
  <c r="L194" i="1"/>
  <c r="Y192" i="1"/>
  <c r="T192" i="1"/>
  <c r="U192" i="1" s="1"/>
  <c r="O192" i="1"/>
  <c r="J192" i="1"/>
  <c r="K192" i="1" s="1"/>
  <c r="K239" i="1" s="1"/>
  <c r="S189" i="1"/>
  <c r="R189" i="1"/>
  <c r="C34" i="9" s="1"/>
  <c r="N189" i="1"/>
  <c r="M189" i="1"/>
  <c r="M220" i="1" s="1"/>
  <c r="D4" i="6" s="1"/>
  <c r="I189" i="1"/>
  <c r="I220" i="1" s="1"/>
  <c r="H189" i="1"/>
  <c r="H220" i="1" s="1"/>
  <c r="C4" i="6" s="1"/>
  <c r="D189" i="1"/>
  <c r="D220" i="1" s="1"/>
  <c r="Y186" i="1"/>
  <c r="Z186" i="1" s="1"/>
  <c r="T186" i="1"/>
  <c r="O186" i="1"/>
  <c r="P186" i="1" s="1"/>
  <c r="Q186" i="1" s="1"/>
  <c r="J186" i="1"/>
  <c r="E186" i="1"/>
  <c r="F186" i="1" s="1"/>
  <c r="G186" i="1" s="1"/>
  <c r="Y185" i="1"/>
  <c r="Z185" i="1" s="1"/>
  <c r="T185" i="1"/>
  <c r="U185" i="1" s="1"/>
  <c r="V185" i="1" s="1"/>
  <c r="O185" i="1"/>
  <c r="J185" i="1"/>
  <c r="Y184" i="1"/>
  <c r="Z184" i="1" s="1"/>
  <c r="T184" i="1"/>
  <c r="U184" i="1" s="1"/>
  <c r="O184" i="1"/>
  <c r="J184" i="1"/>
  <c r="K184" i="1" s="1"/>
  <c r="G184" i="1"/>
  <c r="Y183" i="1"/>
  <c r="T183" i="1"/>
  <c r="U183" i="1" s="1"/>
  <c r="V183" i="1" s="1"/>
  <c r="O183" i="1"/>
  <c r="P183" i="1" s="1"/>
  <c r="J183" i="1"/>
  <c r="E183" i="1"/>
  <c r="F183" i="1" s="1"/>
  <c r="Y181" i="1"/>
  <c r="Z181" i="1" s="1"/>
  <c r="T181" i="1"/>
  <c r="O181" i="1"/>
  <c r="J181" i="1"/>
  <c r="K181" i="1" s="1"/>
  <c r="L181" i="1" s="1"/>
  <c r="E181" i="1"/>
  <c r="F181" i="1" s="1"/>
  <c r="G181" i="1" s="1"/>
  <c r="Y179" i="1"/>
  <c r="Z179" i="1" s="1"/>
  <c r="T179" i="1"/>
  <c r="O179" i="1"/>
  <c r="P179" i="1" s="1"/>
  <c r="Q179" i="1" s="1"/>
  <c r="J179" i="1"/>
  <c r="K179" i="1" s="1"/>
  <c r="L179" i="1" s="1"/>
  <c r="E179" i="1"/>
  <c r="Y178" i="1"/>
  <c r="T178" i="1"/>
  <c r="U178" i="1" s="1"/>
  <c r="Y177" i="1"/>
  <c r="Z177" i="1" s="1"/>
  <c r="T177" i="1"/>
  <c r="U177" i="1" s="1"/>
  <c r="O177" i="1"/>
  <c r="J177" i="1"/>
  <c r="K177" i="1" s="1"/>
  <c r="E177" i="1"/>
  <c r="AQ175" i="1"/>
  <c r="AP175" i="1"/>
  <c r="AO175" i="1"/>
  <c r="AN175" i="1"/>
  <c r="AM175" i="1"/>
  <c r="AL175" i="1"/>
  <c r="AK175" i="1"/>
  <c r="AJ175" i="1"/>
  <c r="AI175" i="1"/>
  <c r="AH175" i="1"/>
  <c r="AG175" i="1"/>
  <c r="AF175" i="1"/>
  <c r="AE175" i="1"/>
  <c r="AD175" i="1"/>
  <c r="AC175" i="1"/>
  <c r="AA175" i="1"/>
  <c r="AB175" i="1" s="1"/>
  <c r="J175" i="1"/>
  <c r="E175" i="1"/>
  <c r="F175" i="1" s="1"/>
  <c r="Y174" i="1"/>
  <c r="T174" i="1"/>
  <c r="U174" i="1" s="1"/>
  <c r="O174" i="1"/>
  <c r="L174" i="1"/>
  <c r="Y173" i="1"/>
  <c r="Z173" i="1" s="1"/>
  <c r="V173" i="1"/>
  <c r="Q173" i="1"/>
  <c r="Y171" i="1"/>
  <c r="Z171" i="1" s="1"/>
  <c r="T171" i="1"/>
  <c r="O171" i="1"/>
  <c r="L171" i="1"/>
  <c r="Y170" i="1"/>
  <c r="T170" i="1"/>
  <c r="O170" i="1"/>
  <c r="P170" i="1" s="1"/>
  <c r="J170" i="1"/>
  <c r="K170" i="1" s="1"/>
  <c r="L170" i="1" s="1"/>
  <c r="E170" i="1"/>
  <c r="F170" i="1" s="1"/>
  <c r="G170" i="1" s="1"/>
  <c r="Y169" i="1"/>
  <c r="Z169" i="1" s="1"/>
  <c r="W169" i="1"/>
  <c r="T169" i="1"/>
  <c r="U169" i="1" s="1"/>
  <c r="O169" i="1"/>
  <c r="L169" i="1"/>
  <c r="G169" i="1"/>
  <c r="Y167" i="1"/>
  <c r="T167" i="1"/>
  <c r="U167" i="1" s="1"/>
  <c r="O167" i="1"/>
  <c r="J167" i="1"/>
  <c r="K167" i="1" s="1"/>
  <c r="E167" i="1"/>
  <c r="F167" i="1" s="1"/>
  <c r="X166" i="1"/>
  <c r="W166" i="1"/>
  <c r="T166" i="1"/>
  <c r="U166" i="1" s="1"/>
  <c r="O166" i="1"/>
  <c r="L166" i="1"/>
  <c r="Y165" i="1"/>
  <c r="Z165" i="1" s="1"/>
  <c r="T165" i="1"/>
  <c r="O165" i="1"/>
  <c r="P165" i="1" s="1"/>
  <c r="Q165" i="1" s="1"/>
  <c r="J165" i="1"/>
  <c r="E165" i="1"/>
  <c r="F165" i="1" s="1"/>
  <c r="Y163" i="1"/>
  <c r="Z163" i="1" s="1"/>
  <c r="T163" i="1"/>
  <c r="O163" i="1"/>
  <c r="L163" i="1"/>
  <c r="Y162" i="1"/>
  <c r="Z162" i="1" s="1"/>
  <c r="T162" i="1"/>
  <c r="O162" i="1"/>
  <c r="P162" i="1" s="1"/>
  <c r="Q162" i="1" s="1"/>
  <c r="J162" i="1"/>
  <c r="K162" i="1" s="1"/>
  <c r="L162" i="1" s="1"/>
  <c r="E162" i="1"/>
  <c r="W160" i="1"/>
  <c r="T160" i="1"/>
  <c r="U160" i="1" s="1"/>
  <c r="O160" i="1"/>
  <c r="P160" i="1" s="1"/>
  <c r="J160" i="1"/>
  <c r="E160" i="1"/>
  <c r="Z152" i="1"/>
  <c r="Y152" i="1"/>
  <c r="X152" i="1"/>
  <c r="W152" i="1"/>
  <c r="V152" i="1"/>
  <c r="U152" i="1"/>
  <c r="T152" i="1"/>
  <c r="S152" i="1"/>
  <c r="Q152" i="1"/>
  <c r="P152" i="1"/>
  <c r="O152" i="1"/>
  <c r="N152" i="1"/>
  <c r="L152" i="1"/>
  <c r="K152" i="1"/>
  <c r="J152" i="1"/>
  <c r="I152" i="1"/>
  <c r="G152" i="1"/>
  <c r="F152" i="1"/>
  <c r="E152" i="1"/>
  <c r="D152" i="1"/>
  <c r="AQ151" i="1"/>
  <c r="AL151" i="1"/>
  <c r="AG151" i="1"/>
  <c r="Y150" i="1"/>
  <c r="X150" i="1"/>
  <c r="U150" i="1"/>
  <c r="Q150" i="1"/>
  <c r="P150" i="1"/>
  <c r="L150" i="1"/>
  <c r="K150" i="1"/>
  <c r="G150" i="1"/>
  <c r="E150" i="1"/>
  <c r="Z149" i="1"/>
  <c r="Y149" i="1"/>
  <c r="X149" i="1"/>
  <c r="V149" i="1"/>
  <c r="U149" i="1"/>
  <c r="T149" i="1"/>
  <c r="S149" i="1"/>
  <c r="Q149" i="1"/>
  <c r="P149" i="1"/>
  <c r="O149" i="1"/>
  <c r="N149" i="1"/>
  <c r="L149" i="1"/>
  <c r="K149" i="1"/>
  <c r="G149" i="1"/>
  <c r="Z148" i="1"/>
  <c r="Y148" i="1"/>
  <c r="X148" i="1"/>
  <c r="V148" i="1"/>
  <c r="U148" i="1"/>
  <c r="T148" i="1"/>
  <c r="S148" i="1"/>
  <c r="Q148" i="1"/>
  <c r="P148" i="1"/>
  <c r="O148" i="1"/>
  <c r="N148" i="1"/>
  <c r="L148" i="1"/>
  <c r="K148" i="1"/>
  <c r="G148" i="1"/>
  <c r="F148" i="1"/>
  <c r="E148" i="1"/>
  <c r="Y147" i="1"/>
  <c r="Q147" i="1"/>
  <c r="P147" i="1"/>
  <c r="X146" i="1"/>
  <c r="V146" i="1"/>
  <c r="U146" i="1"/>
  <c r="T146" i="1"/>
  <c r="S146" i="1"/>
  <c r="Q146" i="1"/>
  <c r="P146" i="1"/>
  <c r="O146" i="1"/>
  <c r="N146" i="1"/>
  <c r="L146" i="1"/>
  <c r="K146" i="1"/>
  <c r="I146" i="1"/>
  <c r="F146" i="1"/>
  <c r="E146" i="1"/>
  <c r="Z145" i="1"/>
  <c r="Y145" i="1"/>
  <c r="X145" i="1"/>
  <c r="W145" i="1"/>
  <c r="V145" i="1"/>
  <c r="U145" i="1"/>
  <c r="T145" i="1"/>
  <c r="S145" i="1"/>
  <c r="Q145" i="1"/>
  <c r="P145" i="1"/>
  <c r="O145" i="1"/>
  <c r="N145" i="1"/>
  <c r="L145" i="1"/>
  <c r="K145" i="1"/>
  <c r="J145" i="1"/>
  <c r="I145" i="1"/>
  <c r="G145" i="1"/>
  <c r="F145" i="1"/>
  <c r="E145" i="1"/>
  <c r="D145" i="1"/>
  <c r="AQ142" i="1"/>
  <c r="AL142" i="1"/>
  <c r="AG142" i="1"/>
  <c r="AB142" i="1"/>
  <c r="W142" i="1"/>
  <c r="R142" i="1"/>
  <c r="M142" i="1"/>
  <c r="Y141" i="1"/>
  <c r="X141" i="1"/>
  <c r="U141" i="1"/>
  <c r="Q141" i="1"/>
  <c r="L141" i="1"/>
  <c r="K141" i="1"/>
  <c r="E141" i="1"/>
  <c r="E142" i="1" s="1"/>
  <c r="Y139" i="1"/>
  <c r="Q139" i="1"/>
  <c r="AQ138" i="1"/>
  <c r="AL138" i="1"/>
  <c r="AG138" i="1"/>
  <c r="AB138" i="1"/>
  <c r="W138" i="1"/>
  <c r="R138" i="1"/>
  <c r="M138" i="1"/>
  <c r="Y137" i="1"/>
  <c r="X137" i="1"/>
  <c r="X138" i="1" s="1"/>
  <c r="U137" i="1"/>
  <c r="Q137" i="1"/>
  <c r="P137" i="1"/>
  <c r="O137" i="1"/>
  <c r="L137" i="1"/>
  <c r="K137" i="1"/>
  <c r="G137" i="1"/>
  <c r="E137" i="1"/>
  <c r="E138" i="1" s="1"/>
  <c r="Y135" i="1"/>
  <c r="Y142" i="1" s="1"/>
  <c r="X135" i="1"/>
  <c r="X151" i="1" s="1"/>
  <c r="T135" i="1"/>
  <c r="S135" i="1"/>
  <c r="N135" i="1"/>
  <c r="F135" i="1"/>
  <c r="AP134" i="1"/>
  <c r="AO134" i="1"/>
  <c r="AN134" i="1"/>
  <c r="AM134" i="1"/>
  <c r="AK134" i="1"/>
  <c r="AJ134" i="1"/>
  <c r="AI134" i="1"/>
  <c r="AH134" i="1"/>
  <c r="AF134" i="1"/>
  <c r="AE134" i="1"/>
  <c r="AD134" i="1"/>
  <c r="AC134" i="1"/>
  <c r="AA134" i="1"/>
  <c r="Z134" i="1"/>
  <c r="Y134" i="1"/>
  <c r="X134" i="1"/>
  <c r="W134" i="1"/>
  <c r="V134" i="1"/>
  <c r="U134" i="1"/>
  <c r="T134" i="1"/>
  <c r="S134" i="1"/>
  <c r="Q134" i="1"/>
  <c r="P134" i="1"/>
  <c r="O134" i="1"/>
  <c r="N134" i="1"/>
  <c r="L134" i="1"/>
  <c r="K134" i="1"/>
  <c r="J134" i="1"/>
  <c r="G134" i="1"/>
  <c r="F134" i="1"/>
  <c r="E134" i="1"/>
  <c r="D134" i="1"/>
  <c r="Z133" i="1"/>
  <c r="Y133" i="1"/>
  <c r="X133" i="1"/>
  <c r="V133" i="1"/>
  <c r="U133" i="1"/>
  <c r="T133" i="1"/>
  <c r="S133" i="1"/>
  <c r="Q133" i="1"/>
  <c r="P133" i="1"/>
  <c r="O133" i="1"/>
  <c r="N133" i="1"/>
  <c r="L133" i="1"/>
  <c r="K133" i="1"/>
  <c r="G133" i="1"/>
  <c r="F133" i="1"/>
  <c r="E133" i="1"/>
  <c r="Z127" i="1"/>
  <c r="Z147" i="1" s="1"/>
  <c r="X127" i="1"/>
  <c r="W127" i="1"/>
  <c r="V127" i="1"/>
  <c r="V147" i="1" s="1"/>
  <c r="U127" i="1"/>
  <c r="T127" i="1"/>
  <c r="T147" i="1" s="1"/>
  <c r="S127" i="1"/>
  <c r="S147" i="1" s="1"/>
  <c r="Q127" i="1"/>
  <c r="P127" i="1"/>
  <c r="O127" i="1"/>
  <c r="O147" i="1" s="1"/>
  <c r="N127" i="1"/>
  <c r="N147" i="1" s="1"/>
  <c r="L127" i="1"/>
  <c r="L147" i="1" s="1"/>
  <c r="K127" i="1"/>
  <c r="J127" i="1"/>
  <c r="J147" i="1" s="1"/>
  <c r="G127" i="1"/>
  <c r="G147" i="1" s="1"/>
  <c r="D127" i="1"/>
  <c r="R126" i="1"/>
  <c r="M126" i="1"/>
  <c r="H126" i="1"/>
  <c r="H125" i="1"/>
  <c r="R124" i="1"/>
  <c r="M124" i="1"/>
  <c r="I124" i="1"/>
  <c r="H124" i="1"/>
  <c r="F124" i="1"/>
  <c r="AA123" i="1"/>
  <c r="AB123" i="1" s="1"/>
  <c r="AC123" i="1" s="1"/>
  <c r="AD123" i="1" s="1"/>
  <c r="AE123" i="1" s="1"/>
  <c r="AF123" i="1" s="1"/>
  <c r="AG123" i="1" s="1"/>
  <c r="AH123" i="1" s="1"/>
  <c r="AI123" i="1" s="1"/>
  <c r="AJ123" i="1" s="1"/>
  <c r="AK123" i="1" s="1"/>
  <c r="AL123" i="1" s="1"/>
  <c r="AM123" i="1" s="1"/>
  <c r="AN123" i="1" s="1"/>
  <c r="AO123" i="1" s="1"/>
  <c r="AP123" i="1" s="1"/>
  <c r="AQ123" i="1" s="1"/>
  <c r="R123" i="1"/>
  <c r="M123" i="1"/>
  <c r="I123" i="1"/>
  <c r="H123" i="1"/>
  <c r="F123" i="1"/>
  <c r="R122" i="1"/>
  <c r="M122" i="1"/>
  <c r="I122" i="1"/>
  <c r="H122" i="1"/>
  <c r="F122" i="1"/>
  <c r="R121" i="1"/>
  <c r="M121" i="1"/>
  <c r="H121" i="1"/>
  <c r="F121" i="1"/>
  <c r="R120" i="1"/>
  <c r="M120" i="1"/>
  <c r="I120" i="1"/>
  <c r="J149" i="1" s="1"/>
  <c r="H120" i="1"/>
  <c r="F120" i="1"/>
  <c r="E120" i="1"/>
  <c r="R119" i="1"/>
  <c r="M119" i="1"/>
  <c r="I119" i="1"/>
  <c r="H119" i="1"/>
  <c r="F119" i="1"/>
  <c r="R118" i="1"/>
  <c r="M118" i="1"/>
  <c r="I118" i="1"/>
  <c r="H118" i="1"/>
  <c r="F118" i="1"/>
  <c r="R117" i="1"/>
  <c r="M117" i="1"/>
  <c r="I117" i="1"/>
  <c r="H117" i="1"/>
  <c r="F117" i="1"/>
  <c r="F127" i="1" s="1"/>
  <c r="R115" i="1"/>
  <c r="M115" i="1"/>
  <c r="H115" i="1"/>
  <c r="H114" i="1"/>
  <c r="Z112" i="1"/>
  <c r="Y112" i="1"/>
  <c r="X112" i="1"/>
  <c r="W112" i="1"/>
  <c r="V112" i="1"/>
  <c r="U112" i="1"/>
  <c r="T112" i="1"/>
  <c r="S112" i="1"/>
  <c r="Q112" i="1"/>
  <c r="P112" i="1"/>
  <c r="O112" i="1"/>
  <c r="N112" i="1"/>
  <c r="L112" i="1"/>
  <c r="K112" i="1"/>
  <c r="J112" i="1"/>
  <c r="G112" i="1"/>
  <c r="E112" i="1"/>
  <c r="D112" i="1"/>
  <c r="R111" i="1"/>
  <c r="M111" i="1"/>
  <c r="I111" i="1"/>
  <c r="H111" i="1"/>
  <c r="F111" i="1"/>
  <c r="F112" i="1" s="1"/>
  <c r="R110" i="1"/>
  <c r="C36" i="9" s="1"/>
  <c r="M110" i="1"/>
  <c r="I110" i="1"/>
  <c r="H110" i="1"/>
  <c r="R109" i="1"/>
  <c r="M109" i="1"/>
  <c r="H109" i="1"/>
  <c r="Z108" i="1"/>
  <c r="Y108" i="1"/>
  <c r="X108" i="1"/>
  <c r="X113" i="1" s="1"/>
  <c r="W108" i="1"/>
  <c r="D35" i="9" s="1"/>
  <c r="V108" i="1"/>
  <c r="U108" i="1"/>
  <c r="S108" i="1"/>
  <c r="Q108" i="1"/>
  <c r="P108" i="1"/>
  <c r="O108" i="1"/>
  <c r="N108" i="1"/>
  <c r="L108" i="1"/>
  <c r="K108" i="1"/>
  <c r="G108" i="1"/>
  <c r="E108" i="1"/>
  <c r="E113" i="1" s="1"/>
  <c r="D108" i="1"/>
  <c r="R106" i="1"/>
  <c r="M106" i="1"/>
  <c r="H106" i="1"/>
  <c r="AA105" i="1"/>
  <c r="AB105" i="1" s="1"/>
  <c r="AC105" i="1" s="1"/>
  <c r="AD105" i="1" s="1"/>
  <c r="AD186" i="1" s="1"/>
  <c r="R105" i="1"/>
  <c r="M105" i="1"/>
  <c r="I105" i="1"/>
  <c r="H105" i="1"/>
  <c r="F105" i="1"/>
  <c r="R104" i="1"/>
  <c r="M104" i="1"/>
  <c r="H104" i="1"/>
  <c r="R103" i="1"/>
  <c r="M103" i="1"/>
  <c r="I103" i="1"/>
  <c r="D76" i="10" s="1"/>
  <c r="H103" i="1"/>
  <c r="R102" i="1"/>
  <c r="M102" i="1"/>
  <c r="I102" i="1"/>
  <c r="H102" i="1"/>
  <c r="H152" i="1" s="1"/>
  <c r="T101" i="1"/>
  <c r="T108" i="1" s="1"/>
  <c r="O101" i="1"/>
  <c r="J101" i="1"/>
  <c r="J108" i="1" s="1"/>
  <c r="R100" i="1"/>
  <c r="M100" i="1"/>
  <c r="I100" i="1"/>
  <c r="J150" i="1" s="1"/>
  <c r="H100" i="1"/>
  <c r="R99" i="1"/>
  <c r="M99" i="1"/>
  <c r="I99" i="1"/>
  <c r="H99" i="1"/>
  <c r="F99" i="1"/>
  <c r="N96" i="1"/>
  <c r="AA95" i="1"/>
  <c r="AA196" i="1" s="1"/>
  <c r="R95" i="1"/>
  <c r="M95" i="1"/>
  <c r="I95" i="1"/>
  <c r="H95" i="1"/>
  <c r="F95" i="1"/>
  <c r="R94" i="1"/>
  <c r="M94" i="1"/>
  <c r="H94" i="1"/>
  <c r="H93" i="1"/>
  <c r="AA92" i="1"/>
  <c r="AB92" i="1" s="1"/>
  <c r="R92" i="1"/>
  <c r="M92" i="1"/>
  <c r="I92" i="1"/>
  <c r="H92" i="1"/>
  <c r="F92" i="1"/>
  <c r="R91" i="1"/>
  <c r="C29" i="9" s="1"/>
  <c r="M91" i="1"/>
  <c r="I91" i="1"/>
  <c r="J146" i="1" s="1"/>
  <c r="H91" i="1"/>
  <c r="F91" i="1"/>
  <c r="G146" i="1" s="1"/>
  <c r="AQ90" i="1"/>
  <c r="AQ134" i="1" s="1"/>
  <c r="AL90" i="1"/>
  <c r="AM194" i="1" s="1"/>
  <c r="AQ194" i="1" s="1"/>
  <c r="AG90" i="1"/>
  <c r="AG27" i="1" s="1"/>
  <c r="AG199" i="1" s="1"/>
  <c r="AB27" i="1"/>
  <c r="R90" i="1"/>
  <c r="M90" i="1"/>
  <c r="I90" i="1"/>
  <c r="H90" i="1"/>
  <c r="F90" i="1"/>
  <c r="Z89" i="1"/>
  <c r="Z96" i="1" s="1"/>
  <c r="Y89" i="1"/>
  <c r="Y96" i="1" s="1"/>
  <c r="X89" i="1"/>
  <c r="X96" i="1" s="1"/>
  <c r="W89" i="1"/>
  <c r="D28" i="9" s="1"/>
  <c r="V89" i="1"/>
  <c r="V96" i="1" s="1"/>
  <c r="U89" i="1"/>
  <c r="U96" i="1" s="1"/>
  <c r="T89" i="1"/>
  <c r="T96" i="1" s="1"/>
  <c r="S89" i="1"/>
  <c r="S96" i="1" s="1"/>
  <c r="Q89" i="1"/>
  <c r="Q96" i="1" s="1"/>
  <c r="P89" i="1"/>
  <c r="P96" i="1" s="1"/>
  <c r="O89" i="1"/>
  <c r="O96" i="1" s="1"/>
  <c r="N89" i="1"/>
  <c r="L89" i="1"/>
  <c r="L96" i="1" s="1"/>
  <c r="J89" i="1"/>
  <c r="J96" i="1" s="1"/>
  <c r="I89" i="1"/>
  <c r="G89" i="1"/>
  <c r="G96" i="1" s="1"/>
  <c r="F89" i="1"/>
  <c r="F96" i="1" s="1"/>
  <c r="E89" i="1"/>
  <c r="E96" i="1" s="1"/>
  <c r="AA88" i="1"/>
  <c r="AA181" i="1" s="1"/>
  <c r="R88" i="1"/>
  <c r="M88" i="1"/>
  <c r="I88" i="1"/>
  <c r="H88" i="1"/>
  <c r="F88" i="1"/>
  <c r="D88" i="1"/>
  <c r="R87" i="1"/>
  <c r="M87" i="1"/>
  <c r="H87" i="1"/>
  <c r="R86" i="1"/>
  <c r="M86" i="1"/>
  <c r="H86" i="1"/>
  <c r="R85" i="1"/>
  <c r="M85" i="1"/>
  <c r="I85" i="1"/>
  <c r="J137" i="1" s="1"/>
  <c r="H85" i="1"/>
  <c r="D85" i="1"/>
  <c r="D84" i="1"/>
  <c r="D89" i="1" s="1"/>
  <c r="D96" i="1" s="1"/>
  <c r="R83" i="1"/>
  <c r="C27" i="9" s="1"/>
  <c r="M83" i="1"/>
  <c r="I83" i="1"/>
  <c r="H83" i="1"/>
  <c r="D83" i="1"/>
  <c r="R82" i="1"/>
  <c r="M82" i="1"/>
  <c r="H82" i="1"/>
  <c r="K81" i="1"/>
  <c r="Z63" i="1"/>
  <c r="C272" i="1" s="1"/>
  <c r="C274" i="1" s="1"/>
  <c r="Y63" i="1"/>
  <c r="X63" i="1"/>
  <c r="V63" i="1"/>
  <c r="U63" i="1"/>
  <c r="T63" i="1"/>
  <c r="S63" i="1"/>
  <c r="Q63" i="1"/>
  <c r="P63" i="1"/>
  <c r="O63" i="1"/>
  <c r="N63" i="1"/>
  <c r="L63" i="1"/>
  <c r="K63" i="1"/>
  <c r="G63" i="1"/>
  <c r="Z62" i="1"/>
  <c r="Y62" i="1"/>
  <c r="X62" i="1"/>
  <c r="V62" i="1"/>
  <c r="U62" i="1"/>
  <c r="T62" i="1"/>
  <c r="S62" i="1"/>
  <c r="Q62" i="1"/>
  <c r="P62" i="1"/>
  <c r="O62" i="1"/>
  <c r="N62" i="1"/>
  <c r="L62" i="1"/>
  <c r="K62" i="1"/>
  <c r="G62" i="1"/>
  <c r="F62" i="1"/>
  <c r="E62" i="1"/>
  <c r="X61" i="1"/>
  <c r="S61" i="1"/>
  <c r="N61" i="1"/>
  <c r="G61" i="1"/>
  <c r="F61" i="1"/>
  <c r="E61" i="1"/>
  <c r="W59" i="1"/>
  <c r="X58" i="1"/>
  <c r="W58" i="1"/>
  <c r="U58" i="1"/>
  <c r="Q58" i="1"/>
  <c r="P58" i="1"/>
  <c r="L58" i="1"/>
  <c r="K58" i="1"/>
  <c r="J58" i="1"/>
  <c r="F58" i="1"/>
  <c r="E58" i="1"/>
  <c r="D58" i="1"/>
  <c r="Y57" i="1"/>
  <c r="W57" i="1"/>
  <c r="Q57" i="1"/>
  <c r="Y56" i="1"/>
  <c r="W56" i="1"/>
  <c r="Q56" i="1"/>
  <c r="K56" i="1"/>
  <c r="Y55" i="1"/>
  <c r="W55" i="1"/>
  <c r="Q55" i="1"/>
  <c r="AB54" i="1"/>
  <c r="AC54" i="1" s="1"/>
  <c r="AD54" i="1" s="1"/>
  <c r="AE54" i="1" s="1"/>
  <c r="AF54" i="1" s="1"/>
  <c r="AG54" i="1" s="1"/>
  <c r="AH54" i="1" s="1"/>
  <c r="AI54" i="1" s="1"/>
  <c r="AJ54" i="1" s="1"/>
  <c r="AK54" i="1" s="1"/>
  <c r="AL54" i="1" s="1"/>
  <c r="AM54" i="1" s="1"/>
  <c r="AN54" i="1" s="1"/>
  <c r="AO54" i="1" s="1"/>
  <c r="AP54" i="1" s="1"/>
  <c r="AQ54" i="1" s="1"/>
  <c r="AA54" i="1"/>
  <c r="W54" i="1"/>
  <c r="W53" i="1"/>
  <c r="W52" i="1"/>
  <c r="W51" i="1"/>
  <c r="BC46" i="1"/>
  <c r="BB45" i="1" a="1"/>
  <c r="BB45" i="1"/>
  <c r="BC45" i="1" s="1"/>
  <c r="W43" i="1"/>
  <c r="W42" i="1"/>
  <c r="K13" i="5" s="1"/>
  <c r="L13" i="5" s="1"/>
  <c r="AA41" i="1"/>
  <c r="AC41" i="1" s="1"/>
  <c r="X41" i="1"/>
  <c r="X228" i="1" s="1"/>
  <c r="U41" i="1"/>
  <c r="U228" i="1" s="1"/>
  <c r="T41" i="1"/>
  <c r="T228" i="1" s="1"/>
  <c r="S41" i="1"/>
  <c r="S228" i="1" s="1"/>
  <c r="N41" i="1"/>
  <c r="N228" i="1" s="1"/>
  <c r="L41" i="1"/>
  <c r="L228" i="1" s="1"/>
  <c r="I41" i="1"/>
  <c r="F41" i="1"/>
  <c r="E41" i="1"/>
  <c r="E228" i="1" s="1"/>
  <c r="D41" i="1"/>
  <c r="D228" i="1" s="1"/>
  <c r="AA40" i="1"/>
  <c r="X40" i="1"/>
  <c r="U40" i="1"/>
  <c r="T40" i="1"/>
  <c r="S40" i="1"/>
  <c r="Q40" i="1"/>
  <c r="Q41" i="1" s="1"/>
  <c r="Q228" i="1" s="1"/>
  <c r="P40" i="1"/>
  <c r="P41" i="1" s="1"/>
  <c r="P228" i="1" s="1"/>
  <c r="O40" i="1"/>
  <c r="O41" i="1" s="1"/>
  <c r="O228" i="1" s="1"/>
  <c r="N40" i="1"/>
  <c r="K40" i="1"/>
  <c r="K41" i="1" s="1"/>
  <c r="J40" i="1"/>
  <c r="J41" i="1" s="1"/>
  <c r="J228" i="1" s="1"/>
  <c r="I40" i="1"/>
  <c r="G40" i="1"/>
  <c r="G41" i="1" s="1"/>
  <c r="G228" i="1" s="1"/>
  <c r="F40" i="1"/>
  <c r="V38" i="1"/>
  <c r="AA38" i="1" s="1"/>
  <c r="T38" i="1"/>
  <c r="P38" i="1"/>
  <c r="R38" i="1" s="1"/>
  <c r="M38" i="1"/>
  <c r="I38" i="1"/>
  <c r="F38" i="1"/>
  <c r="H38" i="1" s="1"/>
  <c r="T36" i="1"/>
  <c r="S36" i="1"/>
  <c r="R36" i="1"/>
  <c r="P36" i="1"/>
  <c r="O36" i="1"/>
  <c r="N36" i="1"/>
  <c r="I36" i="1"/>
  <c r="M36" i="1" s="1"/>
  <c r="F36" i="1"/>
  <c r="T35" i="1"/>
  <c r="S35" i="1"/>
  <c r="P35" i="1"/>
  <c r="O35" i="1"/>
  <c r="R35" i="1" s="1"/>
  <c r="N35" i="1"/>
  <c r="I35" i="1"/>
  <c r="M35" i="1" s="1"/>
  <c r="F35" i="1"/>
  <c r="Y34" i="1"/>
  <c r="T33" i="1"/>
  <c r="V33" i="1" s="1"/>
  <c r="S33" i="1"/>
  <c r="P33" i="1"/>
  <c r="O33" i="1"/>
  <c r="N33" i="1"/>
  <c r="I33" i="1"/>
  <c r="M33" i="1" s="1"/>
  <c r="F33" i="1"/>
  <c r="H33" i="1" s="1"/>
  <c r="Z31" i="1"/>
  <c r="Y31" i="1"/>
  <c r="X31" i="1"/>
  <c r="U31" i="1"/>
  <c r="T31" i="1"/>
  <c r="S31" i="1"/>
  <c r="V31" i="1" s="1"/>
  <c r="Q31" i="1"/>
  <c r="P31" i="1"/>
  <c r="O31" i="1"/>
  <c r="N31" i="1"/>
  <c r="L31" i="1"/>
  <c r="K31" i="1"/>
  <c r="J31" i="1"/>
  <c r="I31" i="1"/>
  <c r="M31" i="1" s="1"/>
  <c r="G31" i="1"/>
  <c r="F31" i="1"/>
  <c r="E31" i="1"/>
  <c r="D31" i="1"/>
  <c r="H31" i="1" s="1"/>
  <c r="AA29" i="1"/>
  <c r="Z24" i="1"/>
  <c r="T24" i="1"/>
  <c r="S24" i="1"/>
  <c r="V24" i="1" s="1"/>
  <c r="AA24" i="1" s="1"/>
  <c r="P24" i="1"/>
  <c r="R24" i="1" s="1"/>
  <c r="O24" i="1"/>
  <c r="N24" i="1"/>
  <c r="I24" i="1"/>
  <c r="M24" i="1" s="1"/>
  <c r="F24" i="1"/>
  <c r="H24" i="1" s="1"/>
  <c r="Y23" i="1"/>
  <c r="X23" i="1"/>
  <c r="U23" i="1"/>
  <c r="T23" i="1"/>
  <c r="D63" i="10" s="1"/>
  <c r="Q23" i="1"/>
  <c r="L23" i="1"/>
  <c r="K23" i="1"/>
  <c r="M61" i="10" s="1"/>
  <c r="J23" i="1"/>
  <c r="G23" i="1"/>
  <c r="F23" i="1"/>
  <c r="E23" i="1"/>
  <c r="D23" i="1"/>
  <c r="K60" i="10" s="1"/>
  <c r="Z22" i="1"/>
  <c r="T22" i="1"/>
  <c r="S22" i="1"/>
  <c r="R22" i="1"/>
  <c r="P22" i="1"/>
  <c r="O22" i="1"/>
  <c r="M22" i="1"/>
  <c r="I22" i="1"/>
  <c r="H22" i="1"/>
  <c r="F22" i="1"/>
  <c r="Z21" i="1"/>
  <c r="V21" i="1"/>
  <c r="T21" i="1"/>
  <c r="S21" i="1"/>
  <c r="P21" i="1"/>
  <c r="O21" i="1"/>
  <c r="N21" i="1"/>
  <c r="I21" i="1"/>
  <c r="M21" i="1" s="1"/>
  <c r="H21" i="1"/>
  <c r="F21" i="1"/>
  <c r="Z20" i="1"/>
  <c r="T20" i="1"/>
  <c r="S20" i="1"/>
  <c r="P20" i="1"/>
  <c r="O20" i="1"/>
  <c r="N20" i="1"/>
  <c r="I20" i="1"/>
  <c r="H20" i="1"/>
  <c r="F20" i="1"/>
  <c r="Y19" i="1"/>
  <c r="Y51" i="1" s="1"/>
  <c r="Q19" i="1"/>
  <c r="Q51" i="1" s="1"/>
  <c r="Z18" i="1"/>
  <c r="T18" i="1"/>
  <c r="S18" i="1"/>
  <c r="S150" i="1" s="1"/>
  <c r="P18" i="1"/>
  <c r="P141" i="1" s="1"/>
  <c r="O18" i="1"/>
  <c r="N18" i="1"/>
  <c r="I18" i="1"/>
  <c r="F18" i="1"/>
  <c r="X17" i="1"/>
  <c r="X55" i="1" s="1"/>
  <c r="U17" i="1"/>
  <c r="U55" i="1" s="1"/>
  <c r="P17" i="1"/>
  <c r="P55" i="1" s="1"/>
  <c r="L17" i="1"/>
  <c r="K17" i="1"/>
  <c r="J17" i="1"/>
  <c r="J19" i="1" s="1"/>
  <c r="E17" i="1"/>
  <c r="D17" i="1"/>
  <c r="D57" i="1" s="1"/>
  <c r="T16" i="1"/>
  <c r="T58" i="1" s="1"/>
  <c r="S16" i="1"/>
  <c r="P16" i="1"/>
  <c r="O16" i="1"/>
  <c r="N16" i="1"/>
  <c r="M16" i="1"/>
  <c r="I16" i="1"/>
  <c r="H16" i="1"/>
  <c r="F16" i="1"/>
  <c r="F17" i="1" s="1"/>
  <c r="Z15" i="1"/>
  <c r="Z58" i="1" s="1"/>
  <c r="T15" i="1"/>
  <c r="T17" i="1" s="1"/>
  <c r="S15" i="1"/>
  <c r="S17" i="1" s="1"/>
  <c r="S19" i="1" s="1"/>
  <c r="P15" i="1"/>
  <c r="O15" i="1"/>
  <c r="O17" i="1" s="1"/>
  <c r="N15" i="1"/>
  <c r="N17" i="1" s="1"/>
  <c r="I15" i="1"/>
  <c r="M15" i="1" s="1"/>
  <c r="G15" i="1"/>
  <c r="F15" i="1"/>
  <c r="U19" i="1" l="1"/>
  <c r="U51" i="1" s="1"/>
  <c r="V167" i="1"/>
  <c r="X19" i="1"/>
  <c r="H112" i="1"/>
  <c r="H89" i="1"/>
  <c r="H96" i="1" s="1"/>
  <c r="C60" i="10"/>
  <c r="S113" i="1"/>
  <c r="S128" i="1" s="1"/>
  <c r="S129" i="1" s="1"/>
  <c r="I216" i="1"/>
  <c r="I219" i="1" s="1"/>
  <c r="J218" i="1" s="1"/>
  <c r="J240" i="1" s="1"/>
  <c r="M145" i="1"/>
  <c r="U113" i="1"/>
  <c r="U128" i="1" s="1"/>
  <c r="U129" i="1" s="1"/>
  <c r="N113" i="1"/>
  <c r="N128" i="1" s="1"/>
  <c r="N129" i="1" s="1"/>
  <c r="K113" i="1"/>
  <c r="K128" i="1" s="1"/>
  <c r="D79" i="10"/>
  <c r="M112" i="1"/>
  <c r="AG143" i="1"/>
  <c r="AB181" i="1"/>
  <c r="S50" i="1"/>
  <c r="Y113" i="1"/>
  <c r="Y128" i="1" s="1"/>
  <c r="H145" i="1"/>
  <c r="Z113" i="1"/>
  <c r="Z128" i="1" s="1"/>
  <c r="Z129" i="1" s="1"/>
  <c r="D113" i="1"/>
  <c r="AL143" i="1"/>
  <c r="AC95" i="1"/>
  <c r="AD95" i="1" s="1"/>
  <c r="AE95" i="1" s="1"/>
  <c r="AF95" i="1" s="1"/>
  <c r="AF196" i="1" s="1"/>
  <c r="AL134" i="1"/>
  <c r="W237" i="1"/>
  <c r="AC92" i="1"/>
  <c r="AD92" i="1" s="1"/>
  <c r="AE92" i="1" s="1"/>
  <c r="AF92" i="1" s="1"/>
  <c r="R216" i="1"/>
  <c r="M216" i="1"/>
  <c r="M219" i="1" s="1"/>
  <c r="C255" i="1"/>
  <c r="BG6" i="10"/>
  <c r="D37" i="9"/>
  <c r="E79" i="10"/>
  <c r="Y204" i="1"/>
  <c r="E50" i="1"/>
  <c r="D5" i="10" s="1"/>
  <c r="R89" i="1"/>
  <c r="R96" i="1" s="1"/>
  <c r="C31" i="9" s="1"/>
  <c r="P113" i="1"/>
  <c r="P128" i="1" s="1"/>
  <c r="P129" i="1" s="1"/>
  <c r="Y146" i="1"/>
  <c r="AA146" i="1" s="1"/>
  <c r="J204" i="1"/>
  <c r="AB171" i="1"/>
  <c r="T214" i="1"/>
  <c r="P139" i="1"/>
  <c r="BH6" i="10"/>
  <c r="F50" i="1"/>
  <c r="E5" i="10" s="1"/>
  <c r="K50" i="1"/>
  <c r="E6" i="10" s="1"/>
  <c r="D128" i="1"/>
  <c r="D129" i="1" s="1"/>
  <c r="J51" i="1"/>
  <c r="J25" i="1"/>
  <c r="D147" i="1"/>
  <c r="V166" i="1"/>
  <c r="V178" i="1"/>
  <c r="X128" i="1"/>
  <c r="X129" i="1" s="1"/>
  <c r="Y129" i="1"/>
  <c r="Z200" i="1"/>
  <c r="Z61" i="1" s="1"/>
  <c r="C37" i="9"/>
  <c r="S216" i="1"/>
  <c r="AB88" i="1"/>
  <c r="U165" i="1"/>
  <c r="V165" i="1" s="1"/>
  <c r="F19" i="1"/>
  <c r="AC88" i="1"/>
  <c r="AD88" i="1" s="1"/>
  <c r="W113" i="1"/>
  <c r="W128" i="1" s="1"/>
  <c r="W129" i="1" s="1"/>
  <c r="R31" i="1"/>
  <c r="AA62" i="1"/>
  <c r="AC62" i="1" s="1"/>
  <c r="L113" i="1"/>
  <c r="X147" i="1"/>
  <c r="AA147" i="1" s="1"/>
  <c r="P167" i="1"/>
  <c r="Q167" i="1" s="1"/>
  <c r="V199" i="1"/>
  <c r="Z202" i="1"/>
  <c r="S220" i="1"/>
  <c r="O239" i="1"/>
  <c r="L210" i="1"/>
  <c r="D56" i="1"/>
  <c r="H108" i="1"/>
  <c r="H113" i="1" s="1"/>
  <c r="P169" i="1"/>
  <c r="Q169" i="1" s="1"/>
  <c r="AQ143" i="1"/>
  <c r="L177" i="1"/>
  <c r="Y240" i="1"/>
  <c r="P163" i="1"/>
  <c r="Q163" i="1" s="1"/>
  <c r="U194" i="1"/>
  <c r="V194" i="1" s="1"/>
  <c r="J239" i="1"/>
  <c r="R225" i="1"/>
  <c r="F79" i="10"/>
  <c r="AA103" i="1" s="1"/>
  <c r="AB103" i="1" s="1"/>
  <c r="K19" i="1"/>
  <c r="K51" i="1" s="1"/>
  <c r="AQ27" i="1"/>
  <c r="D55" i="1"/>
  <c r="U163" i="1"/>
  <c r="V163" i="1" s="1"/>
  <c r="U171" i="1"/>
  <c r="V171" i="1" s="1"/>
  <c r="G175" i="1"/>
  <c r="AA186" i="1"/>
  <c r="AB186" i="1" s="1"/>
  <c r="P192" i="1"/>
  <c r="P239" i="1" s="1"/>
  <c r="I237" i="1"/>
  <c r="R127" i="1"/>
  <c r="R147" i="1" s="1"/>
  <c r="Q194" i="1"/>
  <c r="W96" i="1"/>
  <c r="D7" i="8" s="1"/>
  <c r="M127" i="1"/>
  <c r="L199" i="1"/>
  <c r="Y25" i="1"/>
  <c r="Y52" i="1" s="1"/>
  <c r="W143" i="1"/>
  <c r="V174" i="1"/>
  <c r="P19" i="1"/>
  <c r="P51" i="1" s="1"/>
  <c r="O113" i="1"/>
  <c r="O128" i="1" s="1"/>
  <c r="O129" i="1" s="1"/>
  <c r="R112" i="1"/>
  <c r="AA152" i="1"/>
  <c r="AC152" i="1" s="1"/>
  <c r="AC186" i="1"/>
  <c r="AB194" i="1"/>
  <c r="J214" i="1"/>
  <c r="R237" i="1"/>
  <c r="O238" i="1"/>
  <c r="O50" i="1"/>
  <c r="D7" i="10" s="1"/>
  <c r="P50" i="1"/>
  <c r="E7" i="10" s="1"/>
  <c r="O139" i="1"/>
  <c r="O19" i="1"/>
  <c r="N139" i="1"/>
  <c r="Q144" i="1"/>
  <c r="N55" i="1"/>
  <c r="N50" i="1"/>
  <c r="C7" i="10" s="1"/>
  <c r="N19" i="1"/>
  <c r="N238" i="1"/>
  <c r="N56" i="1"/>
  <c r="R17" i="1"/>
  <c r="C16" i="10" s="1"/>
  <c r="AA166" i="1"/>
  <c r="AB38" i="1"/>
  <c r="AC38" i="1"/>
  <c r="AD38" i="1" s="1"/>
  <c r="S51" i="1"/>
  <c r="N58" i="1"/>
  <c r="P56" i="1"/>
  <c r="P23" i="1"/>
  <c r="P25" i="1" s="1"/>
  <c r="N62" i="10"/>
  <c r="J62" i="10"/>
  <c r="F62" i="10"/>
  <c r="O144" i="1"/>
  <c r="P144" i="1"/>
  <c r="L50" i="1"/>
  <c r="F6" i="10" s="1"/>
  <c r="L139" i="1"/>
  <c r="L55" i="1"/>
  <c r="K175" i="1"/>
  <c r="L175" i="1" s="1"/>
  <c r="S58" i="1"/>
  <c r="C28" i="9"/>
  <c r="F108" i="1"/>
  <c r="F113" i="1" s="1"/>
  <c r="F128" i="1" s="1"/>
  <c r="F129" i="1" s="1"/>
  <c r="G141" i="1"/>
  <c r="K214" i="1"/>
  <c r="L207" i="1"/>
  <c r="I23" i="1"/>
  <c r="K61" i="10" s="1"/>
  <c r="U135" i="1"/>
  <c r="J189" i="1"/>
  <c r="U179" i="1"/>
  <c r="V179" i="1" s="1"/>
  <c r="V15" i="1"/>
  <c r="Z150" i="1"/>
  <c r="N75" i="10"/>
  <c r="N77" i="10" s="1"/>
  <c r="Z141" i="1"/>
  <c r="Z137" i="1"/>
  <c r="J141" i="1"/>
  <c r="I108" i="1"/>
  <c r="K160" i="1"/>
  <c r="U170" i="1"/>
  <c r="V170" i="1" s="1"/>
  <c r="O61" i="1"/>
  <c r="P200" i="1"/>
  <c r="P61" i="1" s="1"/>
  <c r="X25" i="1"/>
  <c r="X51" i="1"/>
  <c r="N57" i="1"/>
  <c r="E61" i="10"/>
  <c r="I61" i="10"/>
  <c r="AB29" i="1"/>
  <c r="V35" i="1"/>
  <c r="I96" i="1"/>
  <c r="Z170" i="1"/>
  <c r="AB173" i="1"/>
  <c r="P184" i="1"/>
  <c r="Q184" i="1" s="1"/>
  <c r="F238" i="1"/>
  <c r="F139" i="1"/>
  <c r="F140" i="1" s="1"/>
  <c r="E238" i="1"/>
  <c r="E139" i="1"/>
  <c r="E55" i="1"/>
  <c r="E19" i="1"/>
  <c r="E56" i="1"/>
  <c r="E57" i="1"/>
  <c r="V17" i="1"/>
  <c r="V57" i="1" s="1"/>
  <c r="R55" i="1"/>
  <c r="AC29" i="1"/>
  <c r="U162" i="1"/>
  <c r="V162" i="1" s="1"/>
  <c r="F177" i="1"/>
  <c r="G177" i="1" s="1"/>
  <c r="F147" i="1"/>
  <c r="O141" i="1"/>
  <c r="R18" i="1"/>
  <c r="C26" i="9" s="1"/>
  <c r="V36" i="1"/>
  <c r="K185" i="1"/>
  <c r="L185" i="1" s="1"/>
  <c r="S56" i="1"/>
  <c r="V20" i="1"/>
  <c r="S23" i="1"/>
  <c r="V23" i="1" s="1"/>
  <c r="J63" i="10" s="1"/>
  <c r="I63" i="10"/>
  <c r="M63" i="10"/>
  <c r="E63" i="10"/>
  <c r="AB24" i="1"/>
  <c r="I228" i="1"/>
  <c r="I134" i="1"/>
  <c r="I225" i="1"/>
  <c r="I61" i="1"/>
  <c r="I133" i="1"/>
  <c r="J133" i="1"/>
  <c r="J62" i="1"/>
  <c r="J61" i="1"/>
  <c r="I62" i="1"/>
  <c r="I127" i="1"/>
  <c r="K147" i="1"/>
  <c r="R15" i="1"/>
  <c r="AC24" i="1"/>
  <c r="AD24" i="1" s="1"/>
  <c r="R20" i="1"/>
  <c r="L57" i="1"/>
  <c r="H225" i="1"/>
  <c r="H134" i="1"/>
  <c r="Y37" i="1"/>
  <c r="Y39" i="1" s="1"/>
  <c r="Y59" i="1"/>
  <c r="Y54" i="1"/>
  <c r="U186" i="1"/>
  <c r="V186" i="1" s="1"/>
  <c r="R16" i="1"/>
  <c r="S137" i="1"/>
  <c r="S138" i="1" s="1"/>
  <c r="S141" i="1"/>
  <c r="S142" i="1" s="1"/>
  <c r="G64" i="10"/>
  <c r="C64" i="10"/>
  <c r="K64" i="10"/>
  <c r="T150" i="1"/>
  <c r="T137" i="1"/>
  <c r="T138" i="1" s="1"/>
  <c r="T141" i="1"/>
  <c r="T142" i="1" s="1"/>
  <c r="O150" i="1"/>
  <c r="V16" i="1"/>
  <c r="G58" i="1"/>
  <c r="G17" i="1"/>
  <c r="G144" i="1" s="1"/>
  <c r="M20" i="1"/>
  <c r="P174" i="1"/>
  <c r="Q174" i="1"/>
  <c r="N15" i="6"/>
  <c r="C3" i="4"/>
  <c r="H15" i="1"/>
  <c r="H58" i="1" s="1"/>
  <c r="I17" i="1"/>
  <c r="F150" i="1"/>
  <c r="H18" i="1"/>
  <c r="F137" i="1"/>
  <c r="F138" i="1" s="1"/>
  <c r="L19" i="1"/>
  <c r="R21" i="1"/>
  <c r="N23" i="1"/>
  <c r="K62" i="10" s="1"/>
  <c r="U25" i="1"/>
  <c r="Z167" i="1"/>
  <c r="AB167" i="1" s="1"/>
  <c r="U238" i="1"/>
  <c r="U239" i="1"/>
  <c r="D9" i="4"/>
  <c r="AE41" i="1"/>
  <c r="F9" i="4" s="1"/>
  <c r="W147" i="1"/>
  <c r="G60" i="10"/>
  <c r="D60" i="10"/>
  <c r="L60" i="10"/>
  <c r="U196" i="1"/>
  <c r="E127" i="1"/>
  <c r="F149" i="1"/>
  <c r="S238" i="1"/>
  <c r="C17" i="10"/>
  <c r="U144" i="1"/>
  <c r="H23" i="1"/>
  <c r="J60" i="10" s="1"/>
  <c r="D17" i="10"/>
  <c r="T139" i="1"/>
  <c r="T140" i="1" s="1"/>
  <c r="T57" i="1"/>
  <c r="T19" i="1"/>
  <c r="V19" i="1" s="1"/>
  <c r="T50" i="1"/>
  <c r="V18" i="1"/>
  <c r="Z23" i="1"/>
  <c r="M64" i="10" s="1"/>
  <c r="E17" i="10"/>
  <c r="U56" i="1"/>
  <c r="U57" i="1"/>
  <c r="U50" i="1"/>
  <c r="U139" i="1"/>
  <c r="K25" i="1"/>
  <c r="S55" i="1"/>
  <c r="M58" i="1"/>
  <c r="I150" i="1"/>
  <c r="I141" i="1"/>
  <c r="I137" i="1"/>
  <c r="M18" i="1"/>
  <c r="O56" i="1"/>
  <c r="V22" i="1"/>
  <c r="O23" i="1"/>
  <c r="D62" i="10" s="1"/>
  <c r="R33" i="1"/>
  <c r="L56" i="1"/>
  <c r="R152" i="1"/>
  <c r="R108" i="1"/>
  <c r="S139" i="1"/>
  <c r="F141" i="1"/>
  <c r="F142" i="1" s="1"/>
  <c r="P171" i="1"/>
  <c r="Q171" i="1" s="1"/>
  <c r="N237" i="1"/>
  <c r="N220" i="1"/>
  <c r="I112" i="1"/>
  <c r="I63" i="1"/>
  <c r="J63" i="1"/>
  <c r="J148" i="1"/>
  <c r="F179" i="1"/>
  <c r="G179" i="1" s="1"/>
  <c r="O58" i="1"/>
  <c r="J56" i="1"/>
  <c r="J238" i="1"/>
  <c r="J57" i="1"/>
  <c r="J139" i="1"/>
  <c r="J55" i="1"/>
  <c r="X238" i="1"/>
  <c r="X139" i="1"/>
  <c r="X57" i="1"/>
  <c r="Y50" i="1"/>
  <c r="D9" i="10" s="1"/>
  <c r="X56" i="1"/>
  <c r="H60" i="10"/>
  <c r="F57" i="1"/>
  <c r="L63" i="10"/>
  <c r="T55" i="1"/>
  <c r="D61" i="10"/>
  <c r="H61" i="10"/>
  <c r="L61" i="10"/>
  <c r="AE105" i="1"/>
  <c r="E189" i="1"/>
  <c r="E220" i="1" s="1"/>
  <c r="F160" i="1"/>
  <c r="V169" i="1"/>
  <c r="G6" i="5"/>
  <c r="C251" i="1" s="1"/>
  <c r="D238" i="1"/>
  <c r="S144" i="1"/>
  <c r="T144" i="1"/>
  <c r="T56" i="1"/>
  <c r="P57" i="1"/>
  <c r="AB134" i="1"/>
  <c r="AC194" i="1"/>
  <c r="AG194" i="1" s="1"/>
  <c r="G167" i="1"/>
  <c r="S237" i="1"/>
  <c r="T239" i="1"/>
  <c r="T238" i="1"/>
  <c r="T204" i="1"/>
  <c r="V192" i="1"/>
  <c r="K61" i="1"/>
  <c r="L200" i="1"/>
  <c r="L61" i="1" s="1"/>
  <c r="S57" i="1"/>
  <c r="O55" i="1"/>
  <c r="M89" i="1"/>
  <c r="M96" i="1" s="1"/>
  <c r="AL27" i="1"/>
  <c r="V113" i="1"/>
  <c r="V128" i="1" s="1"/>
  <c r="V129" i="1" s="1"/>
  <c r="P166" i="1"/>
  <c r="Q166" i="1" s="1"/>
  <c r="AS27" i="10"/>
  <c r="AT27" i="10" s="1"/>
  <c r="AU27" i="10" s="1"/>
  <c r="I58" i="1"/>
  <c r="N137" i="1"/>
  <c r="N141" i="1"/>
  <c r="N150" i="1"/>
  <c r="D19" i="1"/>
  <c r="E60" i="10"/>
  <c r="F56" i="1"/>
  <c r="H63" i="10"/>
  <c r="I60" i="10"/>
  <c r="F60" i="10"/>
  <c r="N60" i="10"/>
  <c r="H35" i="1"/>
  <c r="H36" i="1"/>
  <c r="Q50" i="1"/>
  <c r="F7" i="10" s="1"/>
  <c r="M134" i="1"/>
  <c r="Z183" i="1"/>
  <c r="U200" i="1"/>
  <c r="U61" i="1" s="1"/>
  <c r="T61" i="1"/>
  <c r="P208" i="1"/>
  <c r="Q208" i="1"/>
  <c r="L128" i="1"/>
  <c r="L129" i="1" s="1"/>
  <c r="L184" i="1"/>
  <c r="K201" i="1"/>
  <c r="L201" i="1" s="1"/>
  <c r="M108" i="1"/>
  <c r="R145" i="1"/>
  <c r="O189" i="1"/>
  <c r="Q160" i="1"/>
  <c r="Y166" i="1"/>
  <c r="T189" i="1"/>
  <c r="K238" i="1"/>
  <c r="U208" i="1"/>
  <c r="V208" i="1" s="1"/>
  <c r="J113" i="1"/>
  <c r="J128" i="1" s="1"/>
  <c r="J129" i="1" s="1"/>
  <c r="Y138" i="1"/>
  <c r="Y151" i="1"/>
  <c r="Y140" i="1"/>
  <c r="M152" i="1"/>
  <c r="U207" i="1"/>
  <c r="V207" i="1" s="1"/>
  <c r="G5" i="5"/>
  <c r="C250" i="1" s="1"/>
  <c r="G4" i="5"/>
  <c r="D11" i="9"/>
  <c r="H127" i="1"/>
  <c r="U147" i="1"/>
  <c r="Z135" i="1"/>
  <c r="I149" i="1"/>
  <c r="P177" i="1"/>
  <c r="Q177" i="1" s="1"/>
  <c r="P181" i="1"/>
  <c r="Q181" i="1" s="1"/>
  <c r="L196" i="1"/>
  <c r="Z207" i="1"/>
  <c r="Z214" i="1" s="1"/>
  <c r="Y214" i="1"/>
  <c r="K139" i="1"/>
  <c r="N144" i="1"/>
  <c r="K55" i="1"/>
  <c r="K57" i="1"/>
  <c r="Z17" i="1"/>
  <c r="Z55" i="1" s="1"/>
  <c r="O57" i="1"/>
  <c r="M60" i="10"/>
  <c r="F55" i="1"/>
  <c r="F61" i="10"/>
  <c r="J61" i="10"/>
  <c r="N61" i="10"/>
  <c r="D64" i="10"/>
  <c r="L64" i="10"/>
  <c r="H64" i="10"/>
  <c r="Q25" i="1"/>
  <c r="F228" i="1"/>
  <c r="F225" i="1"/>
  <c r="AB95" i="1"/>
  <c r="T113" i="1"/>
  <c r="T128" i="1" s="1"/>
  <c r="T129" i="1" s="1"/>
  <c r="R134" i="1"/>
  <c r="G135" i="1"/>
  <c r="V177" i="1"/>
  <c r="U181" i="1"/>
  <c r="V181" i="1" s="1"/>
  <c r="G183" i="1"/>
  <c r="N138" i="1"/>
  <c r="N142" i="1"/>
  <c r="V160" i="1"/>
  <c r="Y238" i="1"/>
  <c r="Y239" i="1"/>
  <c r="O214" i="1"/>
  <c r="F37" i="3"/>
  <c r="K225" i="1"/>
  <c r="K228" i="1"/>
  <c r="K89" i="1"/>
  <c r="K96" i="1" s="1"/>
  <c r="O135" i="1"/>
  <c r="Z174" i="1"/>
  <c r="AB174" i="1" s="1"/>
  <c r="K186" i="1"/>
  <c r="L186" i="1" s="1"/>
  <c r="Z192" i="1"/>
  <c r="Z196" i="1"/>
  <c r="AB196" i="1" s="1"/>
  <c r="P207" i="1"/>
  <c r="F23" i="3"/>
  <c r="M225" i="1"/>
  <c r="Q113" i="1"/>
  <c r="Q128" i="1" s="1"/>
  <c r="Q129" i="1" s="1"/>
  <c r="X142" i="1"/>
  <c r="G165" i="1"/>
  <c r="L167" i="1"/>
  <c r="V184" i="1"/>
  <c r="K165" i="1"/>
  <c r="L165" i="1" s="1"/>
  <c r="K183" i="1"/>
  <c r="L183" i="1" s="1"/>
  <c r="N216" i="1"/>
  <c r="L217" i="1"/>
  <c r="C294" i="1"/>
  <c r="C293" i="1"/>
  <c r="C79" i="10"/>
  <c r="AH194" i="1"/>
  <c r="AL194" i="1" s="1"/>
  <c r="AG134" i="1"/>
  <c r="I148" i="1"/>
  <c r="G113" i="1"/>
  <c r="G128" i="1" s="1"/>
  <c r="G129" i="1" s="1"/>
  <c r="F162" i="1"/>
  <c r="G162" i="1" s="1"/>
  <c r="Q170" i="1"/>
  <c r="Z178" i="1"/>
  <c r="AB178" i="1" s="1"/>
  <c r="Q183" i="1"/>
  <c r="M237" i="1"/>
  <c r="Q199" i="1"/>
  <c r="L192" i="1"/>
  <c r="D8" i="8"/>
  <c r="P185" i="1"/>
  <c r="Q185" i="1" s="1"/>
  <c r="O204" i="1"/>
  <c r="Q196" i="1"/>
  <c r="F31" i="3"/>
  <c r="F89" i="10"/>
  <c r="AA104" i="1" s="1"/>
  <c r="R220" i="1"/>
  <c r="E4" i="6" s="1"/>
  <c r="Q217" i="1"/>
  <c r="F6" i="3"/>
  <c r="U217" i="1"/>
  <c r="F15" i="3"/>
  <c r="F11" i="3"/>
  <c r="D89" i="10"/>
  <c r="E50" i="3"/>
  <c r="E49" i="3"/>
  <c r="H50" i="3" s="1"/>
  <c r="C267" i="1" s="1"/>
  <c r="F3" i="3"/>
  <c r="P60" i="10" l="1"/>
  <c r="E16" i="10"/>
  <c r="AG95" i="1"/>
  <c r="AH95" i="1" s="1"/>
  <c r="AD196" i="1"/>
  <c r="P238" i="1"/>
  <c r="Q192" i="1"/>
  <c r="Q238" i="1" s="1"/>
  <c r="AC146" i="1"/>
  <c r="AD146" i="1" s="1"/>
  <c r="D6" i="8"/>
  <c r="D31" i="9"/>
  <c r="D6" i="9" s="1"/>
  <c r="I113" i="1"/>
  <c r="I128" i="1" s="1"/>
  <c r="I129" i="1" s="1"/>
  <c r="M113" i="1"/>
  <c r="M128" i="1" s="1"/>
  <c r="M129" i="1" s="1"/>
  <c r="AE196" i="1"/>
  <c r="V58" i="1"/>
  <c r="M147" i="1"/>
  <c r="J216" i="1"/>
  <c r="J219" i="1" s="1"/>
  <c r="K218" i="1" s="1"/>
  <c r="K240" i="1" s="1"/>
  <c r="D9" i="8"/>
  <c r="L214" i="1"/>
  <c r="R63" i="10"/>
  <c r="D16" i="10"/>
  <c r="AA27" i="1"/>
  <c r="AA199" i="1" s="1"/>
  <c r="AB199" i="1" s="1"/>
  <c r="G63" i="10"/>
  <c r="Z56" i="1"/>
  <c r="K129" i="1"/>
  <c r="L62" i="10"/>
  <c r="L65" i="10" s="1"/>
  <c r="AC103" i="1"/>
  <c r="AD103" i="1" s="1"/>
  <c r="AE103" i="1" s="1"/>
  <c r="AF103" i="1" s="1"/>
  <c r="AH103" i="1" s="1"/>
  <c r="AI103" i="1" s="1"/>
  <c r="AJ103" i="1" s="1"/>
  <c r="AK103" i="1" s="1"/>
  <c r="BF7" i="10"/>
  <c r="AA122" i="1" s="1"/>
  <c r="R57" i="1"/>
  <c r="R139" i="1"/>
  <c r="R140" i="1" s="1"/>
  <c r="R143" i="1" s="1"/>
  <c r="D5" i="8"/>
  <c r="D8" i="9"/>
  <c r="U189" i="1"/>
  <c r="V189" i="1" s="1"/>
  <c r="V220" i="1" s="1"/>
  <c r="K63" i="10"/>
  <c r="K65" i="10" s="1"/>
  <c r="J32" i="1"/>
  <c r="J34" i="1" s="1"/>
  <c r="J52" i="1"/>
  <c r="AQ170" i="1"/>
  <c r="AQ199" i="1"/>
  <c r="AC181" i="1"/>
  <c r="I62" i="10"/>
  <c r="AC147" i="1"/>
  <c r="AD147" i="1" s="1"/>
  <c r="AA202" i="1"/>
  <c r="AC202" i="1" s="1"/>
  <c r="F51" i="1"/>
  <c r="F25" i="1"/>
  <c r="AC196" i="1"/>
  <c r="U204" i="1"/>
  <c r="V204" i="1" s="1"/>
  <c r="S239" i="1"/>
  <c r="Q63" i="10"/>
  <c r="J65" i="10"/>
  <c r="S62" i="10"/>
  <c r="AI95" i="1"/>
  <c r="AH196" i="1"/>
  <c r="AC27" i="1"/>
  <c r="I238" i="1"/>
  <c r="I50" i="1"/>
  <c r="C6" i="10" s="1"/>
  <c r="I139" i="1"/>
  <c r="M139" i="1" s="1"/>
  <c r="M140" i="1" s="1"/>
  <c r="M143" i="1" s="1"/>
  <c r="L144" i="1"/>
  <c r="I55" i="1"/>
  <c r="I57" i="1"/>
  <c r="I19" i="1"/>
  <c r="M17" i="1"/>
  <c r="R49" i="1" s="1"/>
  <c r="P52" i="1"/>
  <c r="P32" i="1"/>
  <c r="P34" i="1" s="1"/>
  <c r="V196" i="1"/>
  <c r="P64" i="10"/>
  <c r="X32" i="1"/>
  <c r="X34" i="1" s="1"/>
  <c r="X52" i="1"/>
  <c r="V135" i="1"/>
  <c r="U140" i="1"/>
  <c r="U138" i="1"/>
  <c r="U142" i="1"/>
  <c r="Q64" i="10"/>
  <c r="AA162" i="1"/>
  <c r="AB162" i="1" s="1"/>
  <c r="AA245" i="1"/>
  <c r="K204" i="1"/>
  <c r="L204" i="1" s="1"/>
  <c r="E51" i="3"/>
  <c r="H49" i="3" s="1"/>
  <c r="C266" i="1" s="1"/>
  <c r="P189" i="1"/>
  <c r="U237" i="1" s="1"/>
  <c r="O142" i="1"/>
  <c r="O140" i="1"/>
  <c r="P135" i="1"/>
  <c r="O138" i="1"/>
  <c r="H135" i="1"/>
  <c r="G142" i="1"/>
  <c r="G138" i="1"/>
  <c r="F17" i="10"/>
  <c r="V139" i="1"/>
  <c r="W139" i="1" s="1"/>
  <c r="V50" i="1"/>
  <c r="C8" i="10" s="1" a="1"/>
  <c r="X144" i="1"/>
  <c r="Z144" i="1"/>
  <c r="Y144" i="1"/>
  <c r="X50" i="1"/>
  <c r="C9" i="10" s="1"/>
  <c r="H147" i="1"/>
  <c r="H128" i="1"/>
  <c r="H129" i="1" s="1"/>
  <c r="D65" i="10"/>
  <c r="Q60" i="10"/>
  <c r="N140" i="1"/>
  <c r="N143" i="1" s="1"/>
  <c r="V238" i="1"/>
  <c r="X239" i="1"/>
  <c r="V239" i="1"/>
  <c r="L25" i="1"/>
  <c r="L51" i="1"/>
  <c r="K189" i="1"/>
  <c r="L189" i="1" s="1"/>
  <c r="C249" i="1"/>
  <c r="C252" i="1"/>
  <c r="K75" i="10"/>
  <c r="K77" i="10" s="1"/>
  <c r="K78" i="10" s="1"/>
  <c r="V150" i="1"/>
  <c r="AA150" i="1" s="1"/>
  <c r="AC150" i="1" s="1"/>
  <c r="V137" i="1"/>
  <c r="AA137" i="1" s="1"/>
  <c r="AC137" i="1" s="1"/>
  <c r="V141" i="1"/>
  <c r="F143" i="1"/>
  <c r="I56" i="1"/>
  <c r="V56" i="1"/>
  <c r="F63" i="10"/>
  <c r="R61" i="10"/>
  <c r="C25" i="9"/>
  <c r="R238" i="1"/>
  <c r="F16" i="10"/>
  <c r="W49" i="1"/>
  <c r="R19" i="1"/>
  <c r="V217" i="1"/>
  <c r="N25" i="1"/>
  <c r="N51" i="1"/>
  <c r="O216" i="1"/>
  <c r="I144" i="1"/>
  <c r="Z138" i="1"/>
  <c r="Z151" i="1"/>
  <c r="AA135" i="1"/>
  <c r="Z142" i="1"/>
  <c r="E62" i="10"/>
  <c r="AD152" i="1"/>
  <c r="AE152" i="1" s="1"/>
  <c r="AF152" i="1" s="1"/>
  <c r="U32" i="1"/>
  <c r="U34" i="1" s="1"/>
  <c r="U52" i="1"/>
  <c r="R60" i="10"/>
  <c r="Q61" i="10"/>
  <c r="R218" i="1"/>
  <c r="N218" i="1"/>
  <c r="N240" i="1" s="1"/>
  <c r="X140" i="1"/>
  <c r="X143" i="1" s="1"/>
  <c r="S61" i="10"/>
  <c r="R58" i="1"/>
  <c r="R23" i="1"/>
  <c r="C32" i="9" s="1"/>
  <c r="R56" i="1"/>
  <c r="J50" i="1"/>
  <c r="D6" i="10" s="1"/>
  <c r="C62" i="10"/>
  <c r="O220" i="1"/>
  <c r="O237" i="1"/>
  <c r="V51" i="1"/>
  <c r="AL199" i="1"/>
  <c r="AL170" i="1"/>
  <c r="G61" i="10"/>
  <c r="M23" i="1"/>
  <c r="E25" i="1"/>
  <c r="E51" i="1"/>
  <c r="F189" i="1"/>
  <c r="F220" i="1" s="1"/>
  <c r="I147" i="1"/>
  <c r="C61" i="10"/>
  <c r="Z57" i="1"/>
  <c r="E140" i="1"/>
  <c r="E143" i="1" s="1"/>
  <c r="J237" i="1"/>
  <c r="J220" i="1"/>
  <c r="AC166" i="1"/>
  <c r="Z238" i="1"/>
  <c r="Z204" i="1"/>
  <c r="Z239" i="1"/>
  <c r="U220" i="1"/>
  <c r="T143" i="1"/>
  <c r="U214" i="1"/>
  <c r="M62" i="10"/>
  <c r="M65" i="10" s="1"/>
  <c r="AE186" i="1"/>
  <c r="AF105" i="1"/>
  <c r="AD181" i="1"/>
  <c r="AE88" i="1"/>
  <c r="AD166" i="1"/>
  <c r="T237" i="1"/>
  <c r="T220" i="1"/>
  <c r="T216" i="1"/>
  <c r="AH92" i="1"/>
  <c r="AI92" i="1" s="1"/>
  <c r="AJ92" i="1" s="1"/>
  <c r="AK92" i="1" s="1"/>
  <c r="AG92" i="1"/>
  <c r="N25" i="6"/>
  <c r="N16" i="6"/>
  <c r="N35" i="6"/>
  <c r="N45" i="6"/>
  <c r="N14" i="6"/>
  <c r="AE24" i="1"/>
  <c r="AF24" i="1" s="1"/>
  <c r="Z166" i="1"/>
  <c r="AB166" i="1" s="1"/>
  <c r="D51" i="1"/>
  <c r="D25" i="1"/>
  <c r="Q200" i="1"/>
  <c r="Q61" i="1" s="1"/>
  <c r="N239" i="1"/>
  <c r="L238" i="1"/>
  <c r="L239" i="1"/>
  <c r="AD29" i="1"/>
  <c r="E64" i="10"/>
  <c r="S140" i="1"/>
  <c r="S143" i="1" s="1"/>
  <c r="S25" i="1"/>
  <c r="O51" i="1"/>
  <c r="O25" i="1"/>
  <c r="AB104" i="1"/>
  <c r="AA185" i="1"/>
  <c r="AB185" i="1" s="1"/>
  <c r="AC104" i="1"/>
  <c r="P214" i="1"/>
  <c r="Q207" i="1"/>
  <c r="H62" i="10"/>
  <c r="H65" i="10" s="1"/>
  <c r="Y143" i="1"/>
  <c r="C35" i="9"/>
  <c r="D10" i="9" s="1"/>
  <c r="R113" i="1"/>
  <c r="R128" i="1" s="1"/>
  <c r="R129" i="1" s="1"/>
  <c r="N63" i="10"/>
  <c r="N65" i="10" s="1"/>
  <c r="V55" i="1"/>
  <c r="AJ55" i="1" s="1"/>
  <c r="K52" i="1"/>
  <c r="K32" i="1"/>
  <c r="K34" i="1" s="1"/>
  <c r="P204" i="1"/>
  <c r="Q204" i="1" s="1"/>
  <c r="Y160" i="1"/>
  <c r="Y189" i="1" s="1"/>
  <c r="Y216" i="1" s="1"/>
  <c r="Y219" i="1" s="1"/>
  <c r="Z218" i="1" s="1"/>
  <c r="Z240" i="1" s="1"/>
  <c r="Y53" i="1"/>
  <c r="Y43" i="1"/>
  <c r="Y42" i="1"/>
  <c r="Z139" i="1"/>
  <c r="AA139" i="1" s="1"/>
  <c r="Z50" i="1"/>
  <c r="E9" i="10" s="1"/>
  <c r="Z19" i="1"/>
  <c r="Q32" i="1"/>
  <c r="Q34" i="1" s="1"/>
  <c r="Q52" i="1"/>
  <c r="AD62" i="1"/>
  <c r="AE62" i="1" s="1"/>
  <c r="V200" i="1"/>
  <c r="V61" i="1" s="1"/>
  <c r="AA61" i="1" s="1"/>
  <c r="S60" i="10"/>
  <c r="AV27" i="10"/>
  <c r="G160" i="1"/>
  <c r="G189" i="1" s="1"/>
  <c r="G220" i="1" s="1"/>
  <c r="T25" i="1"/>
  <c r="T51" i="1"/>
  <c r="E128" i="1"/>
  <c r="E129" i="1" s="1"/>
  <c r="E147" i="1"/>
  <c r="G238" i="1"/>
  <c r="K144" i="1"/>
  <c r="G56" i="1"/>
  <c r="G139" i="1"/>
  <c r="H139" i="1" s="1"/>
  <c r="G55" i="1"/>
  <c r="G50" i="1"/>
  <c r="F5" i="10" s="1"/>
  <c r="G57" i="1"/>
  <c r="H17" i="1"/>
  <c r="F14" i="10" s="1"/>
  <c r="G19" i="1"/>
  <c r="J144" i="1"/>
  <c r="I64" i="10"/>
  <c r="I65" i="10" s="1"/>
  <c r="C63" i="10"/>
  <c r="L160" i="1"/>
  <c r="G62" i="10"/>
  <c r="V144" i="1"/>
  <c r="AE38" i="1"/>
  <c r="AA170" i="1" l="1"/>
  <c r="AB170" i="1" s="1"/>
  <c r="E65" i="10"/>
  <c r="Q239" i="1"/>
  <c r="D9" i="9"/>
  <c r="AG196" i="1"/>
  <c r="D11" i="8"/>
  <c r="AE146" i="1"/>
  <c r="AF146" i="1" s="1"/>
  <c r="N219" i="1"/>
  <c r="O218" i="1" s="1"/>
  <c r="O240" i="1" s="1"/>
  <c r="AG103" i="1"/>
  <c r="G65" i="10"/>
  <c r="AP55" i="1"/>
  <c r="AC139" i="1"/>
  <c r="AC140" i="1" s="1"/>
  <c r="AA55" i="1"/>
  <c r="AE147" i="1"/>
  <c r="K216" i="1"/>
  <c r="K219" i="1" s="1"/>
  <c r="L218" i="1" s="1"/>
  <c r="L240" i="1" s="1"/>
  <c r="AC55" i="1"/>
  <c r="AD55" i="1"/>
  <c r="S63" i="10"/>
  <c r="AF55" i="1"/>
  <c r="AC122" i="1"/>
  <c r="AB122" i="1"/>
  <c r="AA163" i="1"/>
  <c r="AB163" i="1" s="1"/>
  <c r="AQ55" i="1"/>
  <c r="Q62" i="10"/>
  <c r="R64" i="10"/>
  <c r="AD202" i="1"/>
  <c r="AE202" i="1" s="1"/>
  <c r="P216" i="1"/>
  <c r="F52" i="1"/>
  <c r="F32" i="1"/>
  <c r="F34" i="1" s="1"/>
  <c r="AB202" i="1"/>
  <c r="AH152" i="1"/>
  <c r="AI152" i="1" s="1"/>
  <c r="J54" i="1"/>
  <c r="J37" i="1"/>
  <c r="J39" i="1" s="1"/>
  <c r="J59" i="1"/>
  <c r="P63" i="10"/>
  <c r="AB139" i="1"/>
  <c r="AB140" i="1" s="1"/>
  <c r="AB143" i="1" s="1"/>
  <c r="O143" i="1"/>
  <c r="AO55" i="1"/>
  <c r="L237" i="1"/>
  <c r="L220" i="1"/>
  <c r="AC138" i="1"/>
  <c r="AD137" i="1"/>
  <c r="C268" i="1"/>
  <c r="C270" i="1" s="1"/>
  <c r="C280" i="1"/>
  <c r="E8" i="10"/>
  <c r="E10" i="10" s="1"/>
  <c r="D8" i="10"/>
  <c r="D10" i="10" s="1"/>
  <c r="C8" i="10"/>
  <c r="C10" i="10" s="1"/>
  <c r="F8" i="10"/>
  <c r="F10" i="10" s="1"/>
  <c r="AA17" i="1" s="1"/>
  <c r="AE166" i="1"/>
  <c r="AF38" i="1"/>
  <c r="AH38" i="1" s="1"/>
  <c r="AA140" i="1"/>
  <c r="AA151" i="1"/>
  <c r="AA138" i="1"/>
  <c r="AC199" i="1"/>
  <c r="AC170" i="1"/>
  <c r="N34" i="6"/>
  <c r="N24" i="6"/>
  <c r="N44" i="6"/>
  <c r="N13" i="6"/>
  <c r="G140" i="1"/>
  <c r="G143" i="1" s="1"/>
  <c r="U37" i="1"/>
  <c r="U39" i="1" s="1"/>
  <c r="U59" i="1"/>
  <c r="U54" i="1"/>
  <c r="V142" i="1"/>
  <c r="V138" i="1"/>
  <c r="V140" i="1"/>
  <c r="S52" i="1"/>
  <c r="V25" i="1"/>
  <c r="V52" i="1" s="1"/>
  <c r="S32" i="1"/>
  <c r="AG105" i="1"/>
  <c r="AH105" i="1" s="1"/>
  <c r="AF186" i="1"/>
  <c r="AG186" i="1" s="1"/>
  <c r="AK55" i="1"/>
  <c r="AD27" i="1"/>
  <c r="AF62" i="1"/>
  <c r="AH62" i="1" s="1"/>
  <c r="AI62" i="1" s="1"/>
  <c r="Q216" i="1"/>
  <c r="G51" i="1"/>
  <c r="G25" i="1"/>
  <c r="AM92" i="1"/>
  <c r="AN92" i="1" s="1"/>
  <c r="AL92" i="1"/>
  <c r="R62" i="10"/>
  <c r="P138" i="1"/>
  <c r="P140" i="1"/>
  <c r="Q135" i="1"/>
  <c r="P142" i="1"/>
  <c r="X37" i="1"/>
  <c r="X39" i="1" s="1"/>
  <c r="X59" i="1"/>
  <c r="X54" i="1"/>
  <c r="AN55" i="1"/>
  <c r="AE27" i="1"/>
  <c r="M238" i="1"/>
  <c r="M19" i="1"/>
  <c r="M49" i="1"/>
  <c r="D15" i="10"/>
  <c r="E15" i="10"/>
  <c r="F15" i="10"/>
  <c r="F19" i="10" s="1"/>
  <c r="M55" i="1"/>
  <c r="M57" i="1"/>
  <c r="AE29" i="1"/>
  <c r="AF29" i="1" s="1"/>
  <c r="U143" i="1"/>
  <c r="AE181" i="1"/>
  <c r="AF88" i="1"/>
  <c r="AA239" i="1"/>
  <c r="AA192" i="1" s="1"/>
  <c r="N26" i="6"/>
  <c r="N17" i="6"/>
  <c r="N36" i="6"/>
  <c r="N46" i="6"/>
  <c r="AE55" i="1"/>
  <c r="R51" i="1"/>
  <c r="R25" i="1"/>
  <c r="AI55" i="1"/>
  <c r="AM103" i="1"/>
  <c r="AN103" i="1" s="1"/>
  <c r="AO103" i="1" s="1"/>
  <c r="AP103" i="1" s="1"/>
  <c r="AQ103" i="1" s="1"/>
  <c r="AL103" i="1"/>
  <c r="AM55" i="1"/>
  <c r="Q54" i="1"/>
  <c r="Q59" i="1"/>
  <c r="Q37" i="1"/>
  <c r="Q39" i="1" s="1"/>
  <c r="E52" i="1"/>
  <c r="E32" i="1"/>
  <c r="E34" i="1" s="1"/>
  <c r="N32" i="1"/>
  <c r="N34" i="1" s="1"/>
  <c r="N52" i="1"/>
  <c r="AB55" i="1"/>
  <c r="P237" i="1"/>
  <c r="P220" i="1"/>
  <c r="Q189" i="1"/>
  <c r="Z51" i="1"/>
  <c r="Z25" i="1"/>
  <c r="P61" i="10"/>
  <c r="C65" i="10"/>
  <c r="L52" i="1"/>
  <c r="L32" i="1"/>
  <c r="L34" i="1" s="1"/>
  <c r="K59" i="1"/>
  <c r="K37" i="1"/>
  <c r="K39" i="1" s="1"/>
  <c r="K54" i="1"/>
  <c r="I51" i="1"/>
  <c r="I25" i="1"/>
  <c r="O52" i="1"/>
  <c r="O32" i="1"/>
  <c r="O34" i="1" s="1"/>
  <c r="AH24" i="1"/>
  <c r="Z140" i="1"/>
  <c r="Z143" i="1" s="1"/>
  <c r="P62" i="10"/>
  <c r="AG55" i="1"/>
  <c r="AA26" i="1"/>
  <c r="AC61" i="1"/>
  <c r="AD61" i="1" s="1"/>
  <c r="H142" i="1"/>
  <c r="H138" i="1"/>
  <c r="I135" i="1"/>
  <c r="H140" i="1"/>
  <c r="AC151" i="1"/>
  <c r="AD150" i="1"/>
  <c r="AL55" i="1"/>
  <c r="H238" i="1"/>
  <c r="H19" i="1"/>
  <c r="C14" i="10"/>
  <c r="H55" i="1"/>
  <c r="E14" i="10"/>
  <c r="H56" i="1"/>
  <c r="D14" i="10"/>
  <c r="H57" i="1"/>
  <c r="D52" i="1"/>
  <c r="D32" i="1"/>
  <c r="D34" i="1" s="1"/>
  <c r="U216" i="1"/>
  <c r="V214" i="1"/>
  <c r="R240" i="1"/>
  <c r="R219" i="1"/>
  <c r="S218" i="1" s="1"/>
  <c r="AF147" i="1"/>
  <c r="C15" i="10"/>
  <c r="AH55" i="1"/>
  <c r="AI196" i="1"/>
  <c r="AJ95" i="1"/>
  <c r="AD104" i="1"/>
  <c r="AC185" i="1"/>
  <c r="Q214" i="1"/>
  <c r="AG24" i="1"/>
  <c r="F65" i="10"/>
  <c r="T52" i="1"/>
  <c r="T32" i="1"/>
  <c r="T34" i="1" s="1"/>
  <c r="Y220" i="1"/>
  <c r="Y237" i="1"/>
  <c r="M56" i="1"/>
  <c r="D5" i="9"/>
  <c r="D7" i="9"/>
  <c r="D4" i="9"/>
  <c r="K220" i="1"/>
  <c r="K237" i="1"/>
  <c r="P37" i="1"/>
  <c r="P39" i="1" s="1"/>
  <c r="P54" i="1"/>
  <c r="P59" i="1"/>
  <c r="O219" i="1" l="1"/>
  <c r="P218" i="1" s="1"/>
  <c r="P240" i="1" s="1"/>
  <c r="AI57" i="1"/>
  <c r="AD139" i="1"/>
  <c r="AH146" i="1"/>
  <c r="AI146" i="1" s="1"/>
  <c r="AG56" i="1"/>
  <c r="AL56" i="1"/>
  <c r="AC163" i="1"/>
  <c r="AD122" i="1"/>
  <c r="AM56" i="1"/>
  <c r="AK56" i="1"/>
  <c r="L216" i="1"/>
  <c r="L219" i="1" s="1"/>
  <c r="AJ152" i="1"/>
  <c r="AK152" i="1" s="1"/>
  <c r="AH29" i="1"/>
  <c r="AG29" i="1"/>
  <c r="AG57" i="1"/>
  <c r="AB56" i="1"/>
  <c r="J42" i="1"/>
  <c r="J44" i="1" s="1"/>
  <c r="J43" i="1"/>
  <c r="J53" i="1"/>
  <c r="AL57" i="1"/>
  <c r="AQ57" i="1"/>
  <c r="AF56" i="1"/>
  <c r="AH56" i="1"/>
  <c r="AF202" i="1"/>
  <c r="AH202" i="1" s="1"/>
  <c r="AI202" i="1" s="1"/>
  <c r="AC57" i="1"/>
  <c r="F37" i="1"/>
  <c r="F39" i="1" s="1"/>
  <c r="F54" i="1"/>
  <c r="F59" i="1"/>
  <c r="P219" i="1"/>
  <c r="Q218" i="1" s="1"/>
  <c r="Q240" i="1" s="1"/>
  <c r="AD56" i="1"/>
  <c r="AH166" i="1"/>
  <c r="AI38" i="1"/>
  <c r="AD26" i="1"/>
  <c r="AI27" i="1"/>
  <c r="AJ196" i="1"/>
  <c r="AK95" i="1"/>
  <c r="E54" i="1"/>
  <c r="E59" i="1"/>
  <c r="E37" i="1"/>
  <c r="E39" i="1" s="1"/>
  <c r="Z32" i="1"/>
  <c r="Z34" i="1" s="1"/>
  <c r="Z52" i="1"/>
  <c r="AO92" i="1"/>
  <c r="AP92" i="1" s="1"/>
  <c r="AQ92" i="1" s="1"/>
  <c r="AN57" i="1"/>
  <c r="AB57" i="1"/>
  <c r="AA57" i="1"/>
  <c r="AP57" i="1"/>
  <c r="AF57" i="1"/>
  <c r="AD57" i="1"/>
  <c r="AM57" i="1"/>
  <c r="AG38" i="1"/>
  <c r="H143" i="1"/>
  <c r="U42" i="1"/>
  <c r="U43" i="1"/>
  <c r="U53" i="1"/>
  <c r="AJ57" i="1"/>
  <c r="AE61" i="1"/>
  <c r="AF61" i="1" s="1"/>
  <c r="O37" i="1"/>
  <c r="O39" i="1" s="1"/>
  <c r="O59" i="1"/>
  <c r="O54" i="1"/>
  <c r="AJ56" i="1"/>
  <c r="N27" i="6"/>
  <c r="N47" i="6"/>
  <c r="N37" i="6"/>
  <c r="AE170" i="1"/>
  <c r="AE199" i="1"/>
  <c r="Q138" i="1"/>
  <c r="Q142" i="1"/>
  <c r="Q140" i="1"/>
  <c r="D54" i="1"/>
  <c r="D59" i="1"/>
  <c r="D37" i="1"/>
  <c r="D39" i="1" s="1"/>
  <c r="Q237" i="1"/>
  <c r="Q220" i="1"/>
  <c r="V237" i="1"/>
  <c r="AE57" i="1"/>
  <c r="X160" i="1"/>
  <c r="X189" i="1" s="1"/>
  <c r="X53" i="1"/>
  <c r="X43" i="1"/>
  <c r="X42" i="1"/>
  <c r="C16" i="9"/>
  <c r="C15" i="9"/>
  <c r="AK57" i="1"/>
  <c r="AO56" i="1"/>
  <c r="AJ62" i="1"/>
  <c r="AK62" i="1" s="1"/>
  <c r="AH186" i="1"/>
  <c r="AI105" i="1"/>
  <c r="N37" i="1"/>
  <c r="N39" i="1" s="1"/>
  <c r="N59" i="1"/>
  <c r="N54" i="1"/>
  <c r="K53" i="1"/>
  <c r="K43" i="1"/>
  <c r="K42" i="1"/>
  <c r="K44" i="1" s="1"/>
  <c r="AF166" i="1"/>
  <c r="AG166" i="1" s="1"/>
  <c r="I142" i="1"/>
  <c r="I138" i="1"/>
  <c r="I140" i="1"/>
  <c r="J135" i="1"/>
  <c r="M25" i="1"/>
  <c r="M51" i="1"/>
  <c r="AD138" i="1"/>
  <c r="AE137" i="1"/>
  <c r="AH57" i="1"/>
  <c r="AI24" i="1"/>
  <c r="G32" i="1"/>
  <c r="G34" i="1" s="1"/>
  <c r="G52" i="1"/>
  <c r="I32" i="1"/>
  <c r="I34" i="1" s="1"/>
  <c r="I52" i="1"/>
  <c r="V32" i="1"/>
  <c r="S34" i="1"/>
  <c r="AI56" i="1"/>
  <c r="T54" i="1"/>
  <c r="T37" i="1"/>
  <c r="T39" i="1" s="1"/>
  <c r="T59" i="1"/>
  <c r="AF181" i="1"/>
  <c r="AG181" i="1" s="1"/>
  <c r="AG88" i="1"/>
  <c r="AH88" i="1" s="1"/>
  <c r="P42" i="1"/>
  <c r="P44" i="1" s="1"/>
  <c r="P43" i="1"/>
  <c r="P53" i="1"/>
  <c r="V216" i="1"/>
  <c r="AA56" i="1"/>
  <c r="AA20" i="1" s="1"/>
  <c r="AE104" i="1"/>
  <c r="AD185" i="1"/>
  <c r="L59" i="1"/>
  <c r="L54" i="1"/>
  <c r="L37" i="1"/>
  <c r="L39" i="1" s="1"/>
  <c r="AC56" i="1"/>
  <c r="P143" i="1"/>
  <c r="H51" i="1"/>
  <c r="H25" i="1"/>
  <c r="AA200" i="1"/>
  <c r="AB200" i="1" s="1"/>
  <c r="AB26" i="1"/>
  <c r="AB31" i="1" s="1"/>
  <c r="AA169" i="1"/>
  <c r="AB169" i="1" s="1"/>
  <c r="AA31" i="1"/>
  <c r="AA238" i="1"/>
  <c r="AA91" i="1"/>
  <c r="AB192" i="1"/>
  <c r="AI29" i="1"/>
  <c r="AJ29" i="1" s="1"/>
  <c r="AF27" i="1"/>
  <c r="AP56" i="1"/>
  <c r="C6" i="6"/>
  <c r="AH27" i="1"/>
  <c r="AD170" i="1"/>
  <c r="AD199" i="1"/>
  <c r="AE150" i="1"/>
  <c r="AD151" i="1"/>
  <c r="R52" i="1"/>
  <c r="R32" i="1"/>
  <c r="R34" i="1" s="1"/>
  <c r="V143" i="1"/>
  <c r="AE139" i="1"/>
  <c r="AD140" i="1"/>
  <c r="Q43" i="1"/>
  <c r="Q42" i="1"/>
  <c r="Q44" i="1" s="1"/>
  <c r="Q53" i="1"/>
  <c r="P36" i="10"/>
  <c r="P41" i="10" s="1"/>
  <c r="AA50" i="1"/>
  <c r="AA83" i="1"/>
  <c r="AA144" i="1"/>
  <c r="AA19" i="1"/>
  <c r="AA18" i="1"/>
  <c r="AA15" i="1"/>
  <c r="AA58" i="1" s="1"/>
  <c r="AB17" i="1"/>
  <c r="AH147" i="1"/>
  <c r="AN56" i="1"/>
  <c r="S240" i="1"/>
  <c r="S219" i="1"/>
  <c r="T218" i="1" s="1"/>
  <c r="AC26" i="1"/>
  <c r="AO57" i="1"/>
  <c r="AC239" i="1"/>
  <c r="AC192" i="1" s="1"/>
  <c r="AE56" i="1"/>
  <c r="N43" i="6"/>
  <c r="N23" i="6"/>
  <c r="N33" i="6"/>
  <c r="AQ56" i="1"/>
  <c r="AJ202" i="1" l="1"/>
  <c r="AJ146" i="1"/>
  <c r="AG202" i="1"/>
  <c r="Q219" i="1"/>
  <c r="AE122" i="1"/>
  <c r="AD163" i="1"/>
  <c r="AM152" i="1"/>
  <c r="AN152" i="1" s="1"/>
  <c r="AK202" i="1"/>
  <c r="AL202" i="1" s="1"/>
  <c r="AM62" i="1"/>
  <c r="AM27" i="1" s="1"/>
  <c r="AM199" i="1" s="1"/>
  <c r="F43" i="1"/>
  <c r="F53" i="1"/>
  <c r="F42" i="1"/>
  <c r="F44" i="1" s="1"/>
  <c r="K45" i="1" s="1"/>
  <c r="AA204" i="1"/>
  <c r="X237" i="1"/>
  <c r="X220" i="1"/>
  <c r="X216" i="1"/>
  <c r="AE138" i="1"/>
  <c r="AF137" i="1"/>
  <c r="AI166" i="1"/>
  <c r="AB91" i="1"/>
  <c r="AB245" i="1"/>
  <c r="AA51" i="1"/>
  <c r="AA21" i="1"/>
  <c r="AB21" i="1" s="1"/>
  <c r="AA22" i="1"/>
  <c r="AB22" i="1" s="1"/>
  <c r="AB19" i="1"/>
  <c r="AB51" i="1" s="1"/>
  <c r="AH181" i="1"/>
  <c r="AI88" i="1"/>
  <c r="AE185" i="1"/>
  <c r="AF104" i="1"/>
  <c r="G59" i="1"/>
  <c r="G37" i="1"/>
  <c r="G39" i="1" s="1"/>
  <c r="G54" i="1"/>
  <c r="J140" i="1"/>
  <c r="J138" i="1"/>
  <c r="J142" i="1"/>
  <c r="K135" i="1"/>
  <c r="D43" i="1"/>
  <c r="D42" i="1"/>
  <c r="D44" i="1" s="1"/>
  <c r="D53" i="1"/>
  <c r="AK146" i="1"/>
  <c r="AI199" i="1"/>
  <c r="AI170" i="1"/>
  <c r="Z59" i="1"/>
  <c r="Z37" i="1"/>
  <c r="Z39" i="1" s="1"/>
  <c r="Z54" i="1"/>
  <c r="E43" i="1"/>
  <c r="E53" i="1"/>
  <c r="E42" i="1"/>
  <c r="E44" i="1" s="1"/>
  <c r="J45" i="1" s="1"/>
  <c r="M32" i="1"/>
  <c r="M34" i="1" s="1"/>
  <c r="M52" i="1"/>
  <c r="AC200" i="1"/>
  <c r="AC204" i="1" s="1"/>
  <c r="AC169" i="1"/>
  <c r="AC31" i="1"/>
  <c r="N53" i="1"/>
  <c r="N42" i="1"/>
  <c r="N44" i="1" s="1"/>
  <c r="N43" i="1"/>
  <c r="AI186" i="1"/>
  <c r="AJ105" i="1"/>
  <c r="U45" i="1"/>
  <c r="AB204" i="1"/>
  <c r="AB238" i="1"/>
  <c r="AH199" i="1"/>
  <c r="AH170" i="1"/>
  <c r="Q12" i="6"/>
  <c r="AA177" i="1"/>
  <c r="AB177" i="1" s="1"/>
  <c r="AB83" i="1"/>
  <c r="AJ24" i="1"/>
  <c r="AK24" i="1" s="1"/>
  <c r="I143" i="1"/>
  <c r="AD169" i="1"/>
  <c r="AD31" i="1"/>
  <c r="AD200" i="1"/>
  <c r="AI147" i="1"/>
  <c r="Q143" i="1"/>
  <c r="L42" i="1"/>
  <c r="L44" i="1" s="1"/>
  <c r="Q45" i="1" s="1"/>
  <c r="L43" i="1"/>
  <c r="L53" i="1"/>
  <c r="P45" i="1"/>
  <c r="AL95" i="1"/>
  <c r="AM95" i="1"/>
  <c r="AK196" i="1"/>
  <c r="AL196" i="1" s="1"/>
  <c r="AJ38" i="1"/>
  <c r="AK38" i="1" s="1"/>
  <c r="AH61" i="1"/>
  <c r="AI61" i="1" s="1"/>
  <c r="AJ61" i="1" s="1"/>
  <c r="AK61" i="1" s="1"/>
  <c r="T240" i="1"/>
  <c r="T219" i="1"/>
  <c r="U218" i="1" s="1"/>
  <c r="T43" i="1"/>
  <c r="T53" i="1"/>
  <c r="T42" i="1"/>
  <c r="AF150" i="1"/>
  <c r="AE151" i="1"/>
  <c r="AK27" i="1"/>
  <c r="AD59" i="1"/>
  <c r="AI59" i="1" s="1"/>
  <c r="AN59" i="1" s="1"/>
  <c r="AF26" i="1"/>
  <c r="AE26" i="1"/>
  <c r="D18" i="10"/>
  <c r="D19" i="10" s="1"/>
  <c r="AB49" i="1"/>
  <c r="AB15" i="1"/>
  <c r="AB58" i="1" s="1"/>
  <c r="AG17" i="1"/>
  <c r="C18" i="10"/>
  <c r="C19" i="10" s="1"/>
  <c r="E18" i="10"/>
  <c r="E19" i="10" s="1"/>
  <c r="AA100" i="1"/>
  <c r="AA99" i="1"/>
  <c r="AA141" i="1"/>
  <c r="AA142" i="1" s="1"/>
  <c r="AA143" i="1" s="1"/>
  <c r="AA85" i="1"/>
  <c r="AK29" i="1"/>
  <c r="AL29" i="1" s="1"/>
  <c r="AF139" i="1"/>
  <c r="AE140" i="1"/>
  <c r="I37" i="1"/>
  <c r="I39" i="1" s="1"/>
  <c r="I54" i="1"/>
  <c r="I59" i="1"/>
  <c r="AB20" i="1"/>
  <c r="R37" i="1"/>
  <c r="R39" i="1" s="1"/>
  <c r="R40" i="1" s="1"/>
  <c r="R44" i="1" s="1"/>
  <c r="R54" i="1"/>
  <c r="R59" i="1"/>
  <c r="AC240" i="1"/>
  <c r="AH240" i="1" s="1"/>
  <c r="AD239" i="1"/>
  <c r="AD192" i="1" s="1"/>
  <c r="AF199" i="1"/>
  <c r="AF170" i="1"/>
  <c r="AG170" i="1" s="1"/>
  <c r="H52" i="1"/>
  <c r="H32" i="1"/>
  <c r="H34" i="1" s="1"/>
  <c r="V34" i="1"/>
  <c r="S37" i="1"/>
  <c r="S54" i="1"/>
  <c r="S59" i="1"/>
  <c r="AJ27" i="1"/>
  <c r="O53" i="1"/>
  <c r="O42" i="1"/>
  <c r="O44" i="1" s="1"/>
  <c r="O45" i="1" s="1"/>
  <c r="O43" i="1"/>
  <c r="AA23" i="1" l="1"/>
  <c r="AA25" i="1" s="1"/>
  <c r="AM170" i="1"/>
  <c r="AM202" i="1"/>
  <c r="AN202" i="1" s="1"/>
  <c r="AO202" i="1" s="1"/>
  <c r="AN62" i="1"/>
  <c r="AN27" i="1" s="1"/>
  <c r="AN199" i="1" s="1"/>
  <c r="AF122" i="1"/>
  <c r="AE163" i="1"/>
  <c r="AM38" i="1"/>
  <c r="AN38" i="1" s="1"/>
  <c r="AN166" i="1" s="1"/>
  <c r="AB23" i="1"/>
  <c r="AM29" i="1"/>
  <c r="AN29" i="1" s="1"/>
  <c r="AO152" i="1"/>
  <c r="AP152" i="1" s="1"/>
  <c r="AC59" i="1"/>
  <c r="AH59" i="1" s="1"/>
  <c r="AM59" i="1" s="1"/>
  <c r="J143" i="1"/>
  <c r="W45" i="1"/>
  <c r="AK26" i="1"/>
  <c r="AA52" i="1"/>
  <c r="AA32" i="1"/>
  <c r="AB25" i="1"/>
  <c r="AD204" i="1"/>
  <c r="AE169" i="1"/>
  <c r="AE31" i="1"/>
  <c r="AE200" i="1"/>
  <c r="N45" i="1"/>
  <c r="AI26" i="1"/>
  <c r="Z53" i="1"/>
  <c r="Z160" i="1"/>
  <c r="Z189" i="1" s="1"/>
  <c r="Z43" i="1"/>
  <c r="Z42" i="1"/>
  <c r="Z45" i="1" s="1"/>
  <c r="AK166" i="1"/>
  <c r="I42" i="1"/>
  <c r="I44" i="1" s="1"/>
  <c r="I45" i="1" s="1"/>
  <c r="I53" i="1"/>
  <c r="I43" i="1"/>
  <c r="AL17" i="1"/>
  <c r="AJ17" i="1" s="1"/>
  <c r="AG15" i="1"/>
  <c r="AG58" i="1" s="1"/>
  <c r="AF17" i="1"/>
  <c r="AG49" i="1"/>
  <c r="AC17" i="1"/>
  <c r="AD17" i="1"/>
  <c r="AD238" i="1" s="1"/>
  <c r="AE17" i="1"/>
  <c r="AK199" i="1"/>
  <c r="AK170" i="1"/>
  <c r="AJ166" i="1"/>
  <c r="AO38" i="1"/>
  <c r="AO166" i="1" s="1"/>
  <c r="AJ147" i="1"/>
  <c r="AG26" i="1"/>
  <c r="AE59" i="1"/>
  <c r="AJ59" i="1" s="1"/>
  <c r="K140" i="1"/>
  <c r="K138" i="1"/>
  <c r="K142" i="1"/>
  <c r="L135" i="1"/>
  <c r="AF138" i="1"/>
  <c r="AH137" i="1"/>
  <c r="AP202" i="1"/>
  <c r="AQ202" i="1" s="1"/>
  <c r="AA179" i="1"/>
  <c r="AB179" i="1" s="1"/>
  <c r="AB85" i="1"/>
  <c r="AJ186" i="1"/>
  <c r="AK105" i="1"/>
  <c r="AF169" i="1"/>
  <c r="AF200" i="1"/>
  <c r="AF31" i="1"/>
  <c r="U240" i="1"/>
  <c r="U219" i="1"/>
  <c r="V218" i="1" s="1"/>
  <c r="AJ199" i="1"/>
  <c r="AJ170" i="1"/>
  <c r="AJ88" i="1"/>
  <c r="AI181" i="1"/>
  <c r="AE239" i="1"/>
  <c r="AE192" i="1" s="1"/>
  <c r="AF239" i="1"/>
  <c r="AH239" i="1" s="1"/>
  <c r="AL38" i="1"/>
  <c r="AL166" i="1" s="1"/>
  <c r="H37" i="1"/>
  <c r="H39" i="1" s="1"/>
  <c r="H59" i="1"/>
  <c r="H54" i="1"/>
  <c r="C33" i="9"/>
  <c r="R53" i="1"/>
  <c r="R42" i="1"/>
  <c r="AA184" i="1"/>
  <c r="AB184" i="1" s="1"/>
  <c r="AB100" i="1"/>
  <c r="AD240" i="1"/>
  <c r="AI240" i="1" s="1"/>
  <c r="AM24" i="1"/>
  <c r="AJ26" i="1"/>
  <c r="M37" i="1"/>
  <c r="M39" i="1" s="1"/>
  <c r="M40" i="1" s="1"/>
  <c r="M44" i="1" s="1"/>
  <c r="M59" i="1"/>
  <c r="M54" i="1"/>
  <c r="AB99" i="1"/>
  <c r="AA183" i="1"/>
  <c r="AB183" i="1" s="1"/>
  <c r="Q22" i="6"/>
  <c r="Q32" i="6"/>
  <c r="Q42" i="6"/>
  <c r="P12" i="6"/>
  <c r="R12" i="6"/>
  <c r="S39" i="1"/>
  <c r="V37" i="1"/>
  <c r="AF140" i="1"/>
  <c r="AH139" i="1"/>
  <c r="AF151" i="1"/>
  <c r="AH150" i="1"/>
  <c r="AN95" i="1"/>
  <c r="AM196" i="1"/>
  <c r="AM146" i="1"/>
  <c r="AN146" i="1" s="1"/>
  <c r="AL24" i="1"/>
  <c r="G53" i="1"/>
  <c r="G43" i="1"/>
  <c r="G42" i="1"/>
  <c r="G44" i="1" s="1"/>
  <c r="L45" i="1" s="1"/>
  <c r="T45" i="1"/>
  <c r="Y45" i="1"/>
  <c r="AF185" i="1"/>
  <c r="AG185" i="1" s="1"/>
  <c r="AH104" i="1"/>
  <c r="AG104" i="1"/>
  <c r="AC245" i="1"/>
  <c r="AC91" i="1" s="1"/>
  <c r="AC162" i="1"/>
  <c r="R41" i="1"/>
  <c r="R228" i="1" s="1"/>
  <c r="AM61" i="1"/>
  <c r="AM26" i="1" s="1"/>
  <c r="AH26" i="1"/>
  <c r="V54" i="1"/>
  <c r="V59" i="1"/>
  <c r="AA59" i="1" s="1"/>
  <c r="AN170" i="1" l="1"/>
  <c r="AM166" i="1"/>
  <c r="M41" i="1"/>
  <c r="M228" i="1" s="1"/>
  <c r="AO62" i="1"/>
  <c r="AO27" i="1" s="1"/>
  <c r="AB59" i="1"/>
  <c r="AF163" i="1"/>
  <c r="AG163" i="1" s="1"/>
  <c r="AH122" i="1"/>
  <c r="AG122" i="1"/>
  <c r="AP62" i="1"/>
  <c r="AP27" i="1" s="1"/>
  <c r="AP170" i="1" s="1"/>
  <c r="AN61" i="1"/>
  <c r="AN26" i="1" s="1"/>
  <c r="AN200" i="1" s="1"/>
  <c r="AO29" i="1"/>
  <c r="AP29" i="1" s="1"/>
  <c r="AQ29" i="1" s="1"/>
  <c r="AG169" i="1"/>
  <c r="AJ21" i="1"/>
  <c r="AJ15" i="1"/>
  <c r="AJ58" i="1" s="1"/>
  <c r="AJ20" i="1"/>
  <c r="AJ19" i="1"/>
  <c r="AJ18" i="1" s="1"/>
  <c r="AE238" i="1"/>
  <c r="AF192" i="1"/>
  <c r="AG192" i="1" s="1"/>
  <c r="AE204" i="1"/>
  <c r="AJ181" i="1"/>
  <c r="AK88" i="1"/>
  <c r="AA33" i="1"/>
  <c r="AB33" i="1" s="1"/>
  <c r="AG59" i="1"/>
  <c r="AL59" i="1" s="1"/>
  <c r="AQ59" i="1" s="1"/>
  <c r="L142" i="1"/>
  <c r="L138" i="1"/>
  <c r="L140" i="1"/>
  <c r="M42" i="1"/>
  <c r="M43" i="1"/>
  <c r="M53" i="1"/>
  <c r="AE19" i="1"/>
  <c r="AE18" i="1"/>
  <c r="AE20" i="1"/>
  <c r="AE15" i="1"/>
  <c r="AE58" i="1" s="1"/>
  <c r="AE50" i="1"/>
  <c r="AE21" i="1"/>
  <c r="AO61" i="1"/>
  <c r="AO26" i="1" s="1"/>
  <c r="AD19" i="1"/>
  <c r="AD18" i="1" s="1"/>
  <c r="AD50" i="1"/>
  <c r="AD15" i="1"/>
  <c r="AD58" i="1" s="1"/>
  <c r="AD21" i="1"/>
  <c r="AD20" i="1"/>
  <c r="AP38" i="1"/>
  <c r="AP166" i="1" s="1"/>
  <c r="P42" i="6"/>
  <c r="P22" i="6"/>
  <c r="P32" i="6"/>
  <c r="O12" i="6"/>
  <c r="AI17" i="1"/>
  <c r="AJ50" i="1" s="1"/>
  <c r="H53" i="1"/>
  <c r="H40" i="1"/>
  <c r="H44" i="1" s="1"/>
  <c r="M45" i="1" s="1"/>
  <c r="H41" i="1"/>
  <c r="H228" i="1" s="1"/>
  <c r="AI137" i="1"/>
  <c r="AH138" i="1"/>
  <c r="AB52" i="1"/>
  <c r="AB32" i="1"/>
  <c r="AF59" i="1"/>
  <c r="AK59" i="1" s="1"/>
  <c r="AH169" i="1"/>
  <c r="AH200" i="1"/>
  <c r="AL26" i="1"/>
  <c r="AH31" i="1"/>
  <c r="AE240" i="1"/>
  <c r="AJ240" i="1" s="1"/>
  <c r="K143" i="1"/>
  <c r="AK200" i="1"/>
  <c r="AK169" i="1"/>
  <c r="AK31" i="1"/>
  <c r="S53" i="1"/>
  <c r="S42" i="1"/>
  <c r="V39" i="1"/>
  <c r="S43" i="1"/>
  <c r="AO59" i="1"/>
  <c r="AC19" i="1"/>
  <c r="AC15" i="1"/>
  <c r="AC58" i="1" s="1"/>
  <c r="AC20" i="1"/>
  <c r="AC83" i="1"/>
  <c r="AC177" i="1" s="1"/>
  <c r="AC50" i="1"/>
  <c r="AC21" i="1"/>
  <c r="AC238" i="1"/>
  <c r="AK147" i="1"/>
  <c r="AM147" i="1" s="1"/>
  <c r="AN147" i="1" s="1"/>
  <c r="AL15" i="1"/>
  <c r="AL58" i="1" s="1"/>
  <c r="AL49" i="1"/>
  <c r="AQ17" i="1"/>
  <c r="AK17" i="1"/>
  <c r="V240" i="1"/>
  <c r="V219" i="1"/>
  <c r="AI139" i="1"/>
  <c r="AH140" i="1"/>
  <c r="AM169" i="1"/>
  <c r="AM200" i="1"/>
  <c r="AM31" i="1"/>
  <c r="AJ200" i="1"/>
  <c r="AJ31" i="1"/>
  <c r="AJ169" i="1"/>
  <c r="AD162" i="1"/>
  <c r="AD245" i="1"/>
  <c r="AD91" i="1" s="1"/>
  <c r="AK186" i="1"/>
  <c r="AL186" i="1" s="1"/>
  <c r="AL105" i="1"/>
  <c r="AM105" i="1" s="1"/>
  <c r="AI104" i="1"/>
  <c r="AH185" i="1"/>
  <c r="AO146" i="1"/>
  <c r="AP146" i="1" s="1"/>
  <c r="AI239" i="1"/>
  <c r="AJ239" i="1"/>
  <c r="AK239" i="1"/>
  <c r="AM239" i="1" s="1"/>
  <c r="AN24" i="1"/>
  <c r="AO24" i="1" s="1"/>
  <c r="AP24" i="1" s="1"/>
  <c r="R43" i="1"/>
  <c r="AF21" i="1"/>
  <c r="AF50" i="1"/>
  <c r="AF19" i="1"/>
  <c r="AF18" i="1"/>
  <c r="AF100" i="1" s="1"/>
  <c r="AF15" i="1"/>
  <c r="AF58" i="1" s="1"/>
  <c r="AF20" i="1"/>
  <c r="AN196" i="1"/>
  <c r="AO95" i="1"/>
  <c r="AI200" i="1"/>
  <c r="AI169" i="1"/>
  <c r="AI31" i="1"/>
  <c r="AH151" i="1"/>
  <c r="AI150" i="1"/>
  <c r="AH17" i="1"/>
  <c r="R32" i="6"/>
  <c r="R42" i="6"/>
  <c r="R22" i="6"/>
  <c r="S12" i="6"/>
  <c r="AG200" i="1"/>
  <c r="AG31" i="1"/>
  <c r="Z237" i="1"/>
  <c r="Z220" i="1"/>
  <c r="Z216" i="1"/>
  <c r="Z219" i="1" s="1"/>
  <c r="R45" i="1"/>
  <c r="AA34" i="1" l="1"/>
  <c r="AP199" i="1"/>
  <c r="AO170" i="1"/>
  <c r="AO199" i="1"/>
  <c r="AN169" i="1"/>
  <c r="AI122" i="1"/>
  <c r="AH163" i="1"/>
  <c r="AN31" i="1"/>
  <c r="L143" i="1"/>
  <c r="AL169" i="1"/>
  <c r="AP61" i="1"/>
  <c r="AP26" i="1" s="1"/>
  <c r="AQ26" i="1" s="1"/>
  <c r="AQ31" i="1" s="1"/>
  <c r="AP59" i="1"/>
  <c r="AJ99" i="1"/>
  <c r="AG204" i="1"/>
  <c r="AG238" i="1"/>
  <c r="AN239" i="1"/>
  <c r="AO239" i="1"/>
  <c r="AG100" i="1"/>
  <c r="AI138" i="1"/>
  <c r="AJ137" i="1"/>
  <c r="AH50" i="1"/>
  <c r="AH21" i="1"/>
  <c r="AH19" i="1"/>
  <c r="AH18" i="1" s="1"/>
  <c r="AH100" i="1" s="1"/>
  <c r="AH184" i="1" s="1"/>
  <c r="AH20" i="1"/>
  <c r="AH15" i="1"/>
  <c r="AH58" i="1" s="1"/>
  <c r="AL200" i="1"/>
  <c r="AL31" i="1"/>
  <c r="S45" i="1"/>
  <c r="X45" i="1"/>
  <c r="AD99" i="1"/>
  <c r="AD85" i="1"/>
  <c r="AE85" i="1" s="1"/>
  <c r="AE179" i="1" s="1"/>
  <c r="AD100" i="1"/>
  <c r="AD184" i="1" s="1"/>
  <c r="AQ38" i="1"/>
  <c r="AQ166" i="1" s="1"/>
  <c r="AJ139" i="1"/>
  <c r="AI140" i="1"/>
  <c r="AF99" i="1"/>
  <c r="AJ51" i="1"/>
  <c r="AJ22" i="1"/>
  <c r="AI185" i="1"/>
  <c r="AJ104" i="1"/>
  <c r="AE245" i="1"/>
  <c r="AE91" i="1" s="1"/>
  <c r="AE162" i="1"/>
  <c r="AG21" i="1"/>
  <c r="AI19" i="1"/>
  <c r="AI20" i="1"/>
  <c r="AI15" i="1"/>
  <c r="AI58" i="1" s="1"/>
  <c r="AI50" i="1"/>
  <c r="AI21" i="1"/>
  <c r="AD83" i="1"/>
  <c r="AK181" i="1"/>
  <c r="AL88" i="1"/>
  <c r="AM88" i="1" s="1"/>
  <c r="AQ15" i="1"/>
  <c r="AQ58" i="1" s="1"/>
  <c r="AQ49" i="1"/>
  <c r="AP17" i="1"/>
  <c r="AO17" i="1"/>
  <c r="AM17" i="1"/>
  <c r="AN17" i="1"/>
  <c r="AE22" i="1"/>
  <c r="AE23" i="1" s="1"/>
  <c r="AE25" i="1" s="1"/>
  <c r="AE51" i="1"/>
  <c r="AN105" i="1"/>
  <c r="AM186" i="1"/>
  <c r="H42" i="1"/>
  <c r="AG20" i="1"/>
  <c r="AE99" i="1"/>
  <c r="AE100" i="1"/>
  <c r="AI151" i="1"/>
  <c r="AJ150" i="1"/>
  <c r="V53" i="1"/>
  <c r="V43" i="1"/>
  <c r="V42" i="1"/>
  <c r="V45" i="1" s="1"/>
  <c r="AJ23" i="1"/>
  <c r="AJ25" i="1" s="1"/>
  <c r="H43" i="1"/>
  <c r="AO147" i="1"/>
  <c r="AP147" i="1" s="1"/>
  <c r="AQ24" i="1"/>
  <c r="O32" i="6"/>
  <c r="O42" i="6"/>
  <c r="O22" i="6"/>
  <c r="AL181" i="1"/>
  <c r="AF85" i="1"/>
  <c r="AO200" i="1"/>
  <c r="AO169" i="1"/>
  <c r="AO31" i="1"/>
  <c r="AF238" i="1"/>
  <c r="AH192" i="1"/>
  <c r="AF204" i="1"/>
  <c r="AK20" i="1"/>
  <c r="AK21" i="1"/>
  <c r="AK50" i="1"/>
  <c r="AK19" i="1"/>
  <c r="AK18" i="1" s="1"/>
  <c r="AK15" i="1"/>
  <c r="AK58" i="1" s="1"/>
  <c r="AC51" i="1"/>
  <c r="AC22" i="1"/>
  <c r="AC23" i="1" s="1"/>
  <c r="AC25" i="1" s="1"/>
  <c r="AG19" i="1"/>
  <c r="AA35" i="1"/>
  <c r="AB35" i="1" s="1"/>
  <c r="AA36" i="1"/>
  <c r="AF22" i="1"/>
  <c r="AF23" i="1" s="1"/>
  <c r="AF25" i="1" s="1"/>
  <c r="AF51" i="1"/>
  <c r="AA240" i="1"/>
  <c r="AA217" i="1" s="1"/>
  <c r="AB217" i="1" s="1"/>
  <c r="AD51" i="1"/>
  <c r="AD22" i="1"/>
  <c r="AD23" i="1" s="1"/>
  <c r="AD25" i="1" s="1"/>
  <c r="AO196" i="1"/>
  <c r="AP95" i="1"/>
  <c r="S32" i="6"/>
  <c r="S42" i="6"/>
  <c r="S22" i="6"/>
  <c r="AC18" i="1"/>
  <c r="AB34" i="1"/>
  <c r="AQ200" i="1" l="1"/>
  <c r="AA37" i="1"/>
  <c r="AA39" i="1" s="1"/>
  <c r="AA160" i="1" s="1"/>
  <c r="AP200" i="1"/>
  <c r="AP31" i="1"/>
  <c r="AP169" i="1"/>
  <c r="AJ122" i="1"/>
  <c r="AI163" i="1"/>
  <c r="AL21" i="1"/>
  <c r="AP239" i="1"/>
  <c r="AE141" i="1"/>
  <c r="AE142" i="1" s="1"/>
  <c r="AE143" i="1" s="1"/>
  <c r="AQ169" i="1"/>
  <c r="AF240" i="1"/>
  <c r="AK240" i="1" s="1"/>
  <c r="AF141" i="1"/>
  <c r="AF142" i="1" s="1"/>
  <c r="AF143" i="1" s="1"/>
  <c r="AF184" i="1"/>
  <c r="AE52" i="1"/>
  <c r="AE32" i="1"/>
  <c r="AJ32" i="1"/>
  <c r="AJ52" i="1"/>
  <c r="AF32" i="1"/>
  <c r="AF52" i="1"/>
  <c r="AD52" i="1"/>
  <c r="AD32" i="1"/>
  <c r="AC32" i="1"/>
  <c r="AC52" i="1"/>
  <c r="AF179" i="1"/>
  <c r="AG85" i="1"/>
  <c r="AH85" i="1" s="1"/>
  <c r="AH179" i="1" s="1"/>
  <c r="AI51" i="1"/>
  <c r="AI22" i="1"/>
  <c r="AI23" i="1" s="1"/>
  <c r="AI25" i="1" s="1"/>
  <c r="AP196" i="1"/>
  <c r="AQ196" i="1" s="1"/>
  <c r="AQ95" i="1"/>
  <c r="AA111" i="1"/>
  <c r="AA120" i="1"/>
  <c r="AB36" i="1"/>
  <c r="AB37" i="1" s="1"/>
  <c r="AB39" i="1" s="1"/>
  <c r="AE183" i="1"/>
  <c r="AI85" i="1"/>
  <c r="AJ85" i="1" s="1"/>
  <c r="AC99" i="1"/>
  <c r="AD183" i="1" s="1"/>
  <c r="AC85" i="1"/>
  <c r="AC179" i="1" s="1"/>
  <c r="AC100" i="1"/>
  <c r="AC184" i="1" s="1"/>
  <c r="AO50" i="1"/>
  <c r="AO20" i="1"/>
  <c r="AO21" i="1"/>
  <c r="AO19" i="1"/>
  <c r="AO15" i="1"/>
  <c r="AO58" i="1" s="1"/>
  <c r="AA121" i="1"/>
  <c r="AB121" i="1" s="1"/>
  <c r="AA42" i="1"/>
  <c r="AA44" i="1" s="1"/>
  <c r="AA53" i="1"/>
  <c r="AA43" i="1"/>
  <c r="AN186" i="1"/>
  <c r="AO105" i="1"/>
  <c r="AM181" i="1"/>
  <c r="AN88" i="1"/>
  <c r="AF162" i="1"/>
  <c r="AG162" i="1" s="1"/>
  <c r="AF245" i="1"/>
  <c r="AF91" i="1" s="1"/>
  <c r="AJ140" i="1"/>
  <c r="AK139" i="1"/>
  <c r="AI18" i="1"/>
  <c r="AI100" i="1" s="1"/>
  <c r="AN50" i="1"/>
  <c r="AN20" i="1"/>
  <c r="AN19" i="1"/>
  <c r="AN18" i="1" s="1"/>
  <c r="AN21" i="1"/>
  <c r="AN15" i="1"/>
  <c r="AN58" i="1" s="1"/>
  <c r="AM50" i="1"/>
  <c r="AM21" i="1"/>
  <c r="AM19" i="1"/>
  <c r="AM15" i="1"/>
  <c r="AM58" i="1" s="1"/>
  <c r="AM20" i="1"/>
  <c r="AM18" i="1"/>
  <c r="AK99" i="1"/>
  <c r="AK141" i="1" s="1"/>
  <c r="AK142" i="1" s="1"/>
  <c r="AG99" i="1"/>
  <c r="AF183" i="1"/>
  <c r="AK150" i="1"/>
  <c r="AJ151" i="1"/>
  <c r="AK137" i="1"/>
  <c r="AJ138" i="1"/>
  <c r="AG51" i="1"/>
  <c r="AG18" i="1"/>
  <c r="AH238" i="1"/>
  <c r="AH204" i="1"/>
  <c r="AI192" i="1"/>
  <c r="AD177" i="1"/>
  <c r="AE83" i="1"/>
  <c r="AJ185" i="1"/>
  <c r="AK104" i="1"/>
  <c r="AL20" i="1"/>
  <c r="AP50" i="1"/>
  <c r="AP19" i="1"/>
  <c r="AP20" i="1"/>
  <c r="AP15" i="1"/>
  <c r="AP58" i="1" s="1"/>
  <c r="AP21" i="1"/>
  <c r="AK22" i="1"/>
  <c r="AK23" i="1" s="1"/>
  <c r="AK25" i="1" s="1"/>
  <c r="AK51" i="1"/>
  <c r="AH99" i="1"/>
  <c r="AH141" i="1" s="1"/>
  <c r="AH142" i="1" s="1"/>
  <c r="AH143" i="1" s="1"/>
  <c r="AG22" i="1"/>
  <c r="AG23" i="1" s="1"/>
  <c r="AG25" i="1" s="1"/>
  <c r="AH22" i="1"/>
  <c r="AH51" i="1"/>
  <c r="AL19" i="1"/>
  <c r="AI184" i="1" l="1"/>
  <c r="AJ100" i="1"/>
  <c r="AJ184" i="1" s="1"/>
  <c r="AK122" i="1"/>
  <c r="AJ163" i="1"/>
  <c r="AQ21" i="1"/>
  <c r="AJ179" i="1"/>
  <c r="AK85" i="1"/>
  <c r="AG52" i="1"/>
  <c r="AG32" i="1"/>
  <c r="AI52" i="1"/>
  <c r="AI32" i="1"/>
  <c r="AK32" i="1"/>
  <c r="AK52" i="1"/>
  <c r="AB120" i="1"/>
  <c r="AA149" i="1"/>
  <c r="AC33" i="1"/>
  <c r="AC34" i="1" s="1"/>
  <c r="AM139" i="1"/>
  <c r="AK140" i="1"/>
  <c r="AD33" i="1"/>
  <c r="AD34" i="1" s="1"/>
  <c r="AA189" i="1"/>
  <c r="AN22" i="1"/>
  <c r="AN23" i="1" s="1"/>
  <c r="AN25" i="1" s="1"/>
  <c r="AN51" i="1"/>
  <c r="AB160" i="1"/>
  <c r="AB53" i="1"/>
  <c r="AB40" i="1"/>
  <c r="AC40" i="1" s="1"/>
  <c r="AB41" i="1"/>
  <c r="AB43" i="1" s="1"/>
  <c r="AB111" i="1"/>
  <c r="AA165" i="1"/>
  <c r="AB165" i="1" s="1"/>
  <c r="AI238" i="1"/>
  <c r="AI204" i="1"/>
  <c r="AJ192" i="1"/>
  <c r="AL22" i="1"/>
  <c r="AL23" i="1" s="1"/>
  <c r="AL25" i="1" s="1"/>
  <c r="AH23" i="1"/>
  <c r="AH25" i="1" s="1"/>
  <c r="AM99" i="1"/>
  <c r="AP105" i="1"/>
  <c r="AO186" i="1"/>
  <c r="AO51" i="1"/>
  <c r="AO22" i="1"/>
  <c r="AJ33" i="1"/>
  <c r="AJ34" i="1" s="1"/>
  <c r="AH183" i="1"/>
  <c r="AG245" i="1"/>
  <c r="AG91" i="1"/>
  <c r="AC141" i="1"/>
  <c r="AC142" i="1" s="1"/>
  <c r="AC143" i="1" s="1"/>
  <c r="AK151" i="1"/>
  <c r="AK100" i="1" s="1"/>
  <c r="AM150" i="1"/>
  <c r="AN99" i="1"/>
  <c r="AF33" i="1"/>
  <c r="AF34" i="1" s="1"/>
  <c r="AO88" i="1"/>
  <c r="AN181" i="1"/>
  <c r="AD179" i="1"/>
  <c r="AG179" i="1" s="1"/>
  <c r="AI99" i="1"/>
  <c r="AL104" i="1"/>
  <c r="AM104" i="1"/>
  <c r="AK185" i="1"/>
  <c r="AL185" i="1" s="1"/>
  <c r="AM137" i="1"/>
  <c r="AK138" i="1"/>
  <c r="AK143" i="1" s="1"/>
  <c r="AO18" i="1"/>
  <c r="AE33" i="1"/>
  <c r="AE34" i="1" s="1"/>
  <c r="AE177" i="1"/>
  <c r="AF83" i="1"/>
  <c r="AA45" i="1"/>
  <c r="AA207" i="1"/>
  <c r="AP51" i="1"/>
  <c r="AP22" i="1"/>
  <c r="AP23" i="1" s="1"/>
  <c r="AP25" i="1" s="1"/>
  <c r="AC183" i="1"/>
  <c r="AG183" i="1" s="1"/>
  <c r="AD141" i="1"/>
  <c r="AD142" i="1" s="1"/>
  <c r="AD143" i="1" s="1"/>
  <c r="AL51" i="1"/>
  <c r="AL18" i="1"/>
  <c r="AK183" i="1"/>
  <c r="AL99" i="1"/>
  <c r="AI179" i="1"/>
  <c r="AQ20" i="1"/>
  <c r="AP18" i="1"/>
  <c r="AE184" i="1"/>
  <c r="AG184" i="1" s="1"/>
  <c r="AM51" i="1"/>
  <c r="AQ19" i="1"/>
  <c r="AM22" i="1"/>
  <c r="AM23" i="1" s="1"/>
  <c r="AM25" i="1" s="1"/>
  <c r="AO23" i="1"/>
  <c r="AO25" i="1" s="1"/>
  <c r="AL122" i="1" l="1"/>
  <c r="AM122" i="1"/>
  <c r="AK163" i="1"/>
  <c r="AL163" i="1" s="1"/>
  <c r="AB189" i="1"/>
  <c r="AN141" i="1"/>
  <c r="AN142" i="1" s="1"/>
  <c r="AF36" i="1"/>
  <c r="AF35" i="1"/>
  <c r="AF37" i="1"/>
  <c r="AF39" i="1" s="1"/>
  <c r="AE35" i="1"/>
  <c r="AE36" i="1"/>
  <c r="AE37" i="1" s="1"/>
  <c r="AE39" i="1" s="1"/>
  <c r="AN32" i="1"/>
  <c r="AN52" i="1"/>
  <c r="AJ36" i="1"/>
  <c r="AJ35" i="1"/>
  <c r="AJ37" i="1" s="1"/>
  <c r="AJ39" i="1" s="1"/>
  <c r="AL52" i="1"/>
  <c r="AL32" i="1"/>
  <c r="AP52" i="1"/>
  <c r="AP32" i="1"/>
  <c r="AD35" i="1"/>
  <c r="AD36" i="1"/>
  <c r="AD37" i="1" s="1"/>
  <c r="AD39" i="1" s="1"/>
  <c r="AM32" i="1"/>
  <c r="AM52" i="1"/>
  <c r="AH245" i="1"/>
  <c r="AH91" i="1" s="1"/>
  <c r="AH162" i="1"/>
  <c r="AP186" i="1"/>
  <c r="AQ186" i="1" s="1"/>
  <c r="AQ105" i="1"/>
  <c r="AN137" i="1"/>
  <c r="AM138" i="1"/>
  <c r="AK184" i="1"/>
  <c r="AL184" i="1" s="1"/>
  <c r="AL100" i="1"/>
  <c r="AP88" i="1"/>
  <c r="AO181" i="1"/>
  <c r="AO99" i="1"/>
  <c r="AO141" i="1"/>
  <c r="AO142" i="1" s="1"/>
  <c r="AK33" i="1"/>
  <c r="AK34" i="1" s="1"/>
  <c r="AN104" i="1"/>
  <c r="AM185" i="1"/>
  <c r="AB207" i="1"/>
  <c r="AA124" i="1"/>
  <c r="AK192" i="1"/>
  <c r="AJ238" i="1"/>
  <c r="AJ204" i="1"/>
  <c r="AN139" i="1"/>
  <c r="AM140" i="1"/>
  <c r="AG34" i="1"/>
  <c r="AM183" i="1"/>
  <c r="AM141" i="1"/>
  <c r="AM142" i="1" s="1"/>
  <c r="AB42" i="1"/>
  <c r="AB44" i="1" s="1"/>
  <c r="AQ22" i="1"/>
  <c r="AQ23" i="1" s="1"/>
  <c r="AQ25" i="1" s="1"/>
  <c r="AI183" i="1"/>
  <c r="AJ141" i="1"/>
  <c r="AJ142" i="1" s="1"/>
  <c r="AJ143" i="1" s="1"/>
  <c r="AJ183" i="1"/>
  <c r="AL183" i="1" s="1"/>
  <c r="AB220" i="1"/>
  <c r="AB237" i="1"/>
  <c r="AG33" i="1"/>
  <c r="AO52" i="1"/>
  <c r="AO32" i="1"/>
  <c r="AP99" i="1"/>
  <c r="AA237" i="1"/>
  <c r="AA220" i="1"/>
  <c r="C9" i="4"/>
  <c r="AD41" i="1"/>
  <c r="AH52" i="1"/>
  <c r="AH32" i="1"/>
  <c r="AI33" i="1"/>
  <c r="AI34" i="1" s="1"/>
  <c r="AC35" i="1"/>
  <c r="AC36" i="1"/>
  <c r="AL85" i="1"/>
  <c r="AK179" i="1"/>
  <c r="AL179" i="1" s="1"/>
  <c r="AD40" i="1"/>
  <c r="AN183" i="1"/>
  <c r="AQ51" i="1"/>
  <c r="AQ18" i="1"/>
  <c r="AI141" i="1"/>
  <c r="AI142" i="1" s="1"/>
  <c r="AI143" i="1" s="1"/>
  <c r="AF177" i="1"/>
  <c r="AG177" i="1" s="1"/>
  <c r="AG83" i="1"/>
  <c r="AH83" i="1"/>
  <c r="AN150" i="1"/>
  <c r="AM151" i="1"/>
  <c r="AM100" i="1" s="1"/>
  <c r="AM184" i="1" s="1"/>
  <c r="AB45" i="1" l="1"/>
  <c r="AP141" i="1"/>
  <c r="AP142" i="1" s="1"/>
  <c r="AC37" i="1"/>
  <c r="AC39" i="1" s="1"/>
  <c r="AC53" i="1" s="1"/>
  <c r="AN122" i="1"/>
  <c r="AM163" i="1"/>
  <c r="AG36" i="1"/>
  <c r="AC111" i="1"/>
  <c r="AC165" i="1" s="1"/>
  <c r="AJ160" i="1"/>
  <c r="AJ53" i="1"/>
  <c r="AE160" i="1"/>
  <c r="AE53" i="1"/>
  <c r="AE43" i="1"/>
  <c r="AQ52" i="1"/>
  <c r="AQ32" i="1"/>
  <c r="AN185" i="1"/>
  <c r="AO104" i="1"/>
  <c r="AH33" i="1"/>
  <c r="AL33" i="1" s="1"/>
  <c r="AL34" i="1" s="1"/>
  <c r="AN33" i="1"/>
  <c r="AN34" i="1" s="1"/>
  <c r="AP183" i="1"/>
  <c r="AQ99" i="1"/>
  <c r="AK238" i="1"/>
  <c r="AK204" i="1"/>
  <c r="AM192" i="1"/>
  <c r="AL192" i="1"/>
  <c r="AO183" i="1"/>
  <c r="AK36" i="1"/>
  <c r="AK35" i="1"/>
  <c r="AM143" i="1"/>
  <c r="AM85" i="1"/>
  <c r="AM179" i="1" s="1"/>
  <c r="AB124" i="1"/>
  <c r="AA127" i="1"/>
  <c r="G4" i="6"/>
  <c r="AB222" i="1"/>
  <c r="AD43" i="1"/>
  <c r="AD160" i="1"/>
  <c r="AD42" i="1"/>
  <c r="AD44" i="1" s="1"/>
  <c r="AD53" i="1"/>
  <c r="AN138" i="1"/>
  <c r="AO137" i="1"/>
  <c r="AP33" i="1"/>
  <c r="AP34" i="1" s="1"/>
  <c r="AF40" i="1"/>
  <c r="AF42" i="1" s="1"/>
  <c r="AF44" i="1" s="1"/>
  <c r="AE40" i="1"/>
  <c r="AE42" i="1" s="1"/>
  <c r="AE44" i="1" s="1"/>
  <c r="AO33" i="1"/>
  <c r="AO34" i="1" s="1"/>
  <c r="AI245" i="1"/>
  <c r="AI91" i="1" s="1"/>
  <c r="AI162" i="1"/>
  <c r="C10" i="4"/>
  <c r="C12" i="4" s="1"/>
  <c r="AQ88" i="1"/>
  <c r="AP181" i="1"/>
  <c r="AQ181" i="1" s="1"/>
  <c r="AH177" i="1"/>
  <c r="AI83" i="1"/>
  <c r="AM33" i="1"/>
  <c r="AM34" i="1"/>
  <c r="AC42" i="1"/>
  <c r="AC44" i="1" s="1"/>
  <c r="AC43" i="1"/>
  <c r="AC121" i="1"/>
  <c r="AD121" i="1" s="1"/>
  <c r="AE121" i="1" s="1"/>
  <c r="AF121" i="1" s="1"/>
  <c r="AG121" i="1" s="1"/>
  <c r="AG35" i="1"/>
  <c r="AI36" i="1"/>
  <c r="AI35" i="1"/>
  <c r="AN140" i="1"/>
  <c r="AN83" i="1" s="1"/>
  <c r="AO139" i="1"/>
  <c r="E9" i="4"/>
  <c r="AF41" i="1"/>
  <c r="AH41" i="1" s="1"/>
  <c r="AF53" i="1"/>
  <c r="AF160" i="1"/>
  <c r="AO150" i="1"/>
  <c r="AN151" i="1"/>
  <c r="AN100" i="1"/>
  <c r="AC120" i="1"/>
  <c r="AC160" i="1" l="1"/>
  <c r="AE45" i="1"/>
  <c r="AF45" i="1"/>
  <c r="AD207" i="1"/>
  <c r="AQ183" i="1"/>
  <c r="AD111" i="1"/>
  <c r="AD165" i="1" s="1"/>
  <c r="AD189" i="1" s="1"/>
  <c r="AG37" i="1"/>
  <c r="AG39" i="1" s="1"/>
  <c r="AG40" i="1" s="1"/>
  <c r="AO122" i="1"/>
  <c r="AN163" i="1"/>
  <c r="C256" i="1"/>
  <c r="C7" i="1" s="1"/>
  <c r="AI37" i="1"/>
  <c r="AI39" i="1" s="1"/>
  <c r="AN143" i="1"/>
  <c r="AK37" i="1"/>
  <c r="AK39" i="1" s="1"/>
  <c r="AK53" i="1" s="1"/>
  <c r="AP36" i="1"/>
  <c r="AP35" i="1"/>
  <c r="AO35" i="1"/>
  <c r="AO37" i="1" s="1"/>
  <c r="AO39" i="1" s="1"/>
  <c r="AO36" i="1"/>
  <c r="AC189" i="1"/>
  <c r="AJ245" i="1"/>
  <c r="AJ91" i="1" s="1"/>
  <c r="AJ162" i="1"/>
  <c r="AO140" i="1"/>
  <c r="AP139" i="1"/>
  <c r="AO83" i="1"/>
  <c r="AO177" i="1" s="1"/>
  <c r="AN184" i="1"/>
  <c r="AM36" i="1"/>
  <c r="AM35" i="1"/>
  <c r="AN35" i="1"/>
  <c r="AN36" i="1"/>
  <c r="AO151" i="1"/>
  <c r="AP150" i="1"/>
  <c r="AO100" i="1"/>
  <c r="AH40" i="1"/>
  <c r="AH34" i="1"/>
  <c r="AA110" i="1"/>
  <c r="AA102" i="1"/>
  <c r="AI177" i="1"/>
  <c r="AJ83" i="1"/>
  <c r="AO138" i="1"/>
  <c r="AP137" i="1"/>
  <c r="AC45" i="1"/>
  <c r="AC207" i="1"/>
  <c r="AC124" i="1" s="1"/>
  <c r="AC149" i="1"/>
  <c r="AD120" i="1"/>
  <c r="AQ33" i="1"/>
  <c r="AQ34" i="1" s="1"/>
  <c r="AP104" i="1"/>
  <c r="AO185" i="1"/>
  <c r="AL238" i="1"/>
  <c r="AL204" i="1"/>
  <c r="AJ41" i="1"/>
  <c r="AJ43" i="1" s="1"/>
  <c r="AB127" i="1"/>
  <c r="AF43" i="1"/>
  <c r="AN85" i="1"/>
  <c r="AN179" i="1" s="1"/>
  <c r="AM204" i="1"/>
  <c r="AN192" i="1"/>
  <c r="AM238" i="1"/>
  <c r="AP37" i="1" l="1"/>
  <c r="AP39" i="1" s="1"/>
  <c r="AK160" i="1"/>
  <c r="AG41" i="1"/>
  <c r="AI41" i="1" s="1"/>
  <c r="AK41" i="1" s="1"/>
  <c r="AK43" i="1" s="1"/>
  <c r="AG53" i="1"/>
  <c r="AG42" i="1"/>
  <c r="AG44" i="1" s="1"/>
  <c r="D10" i="4" s="1"/>
  <c r="D12" i="4" s="1"/>
  <c r="AG160" i="1"/>
  <c r="AE111" i="1"/>
  <c r="AE165" i="1" s="1"/>
  <c r="AE189" i="1" s="1"/>
  <c r="AF207" i="1"/>
  <c r="AD45" i="1"/>
  <c r="AE207" i="1"/>
  <c r="AG207" i="1" s="1"/>
  <c r="AM37" i="1"/>
  <c r="AM39" i="1" s="1"/>
  <c r="AM160" i="1" s="1"/>
  <c r="AI43" i="1"/>
  <c r="AI53" i="1"/>
  <c r="AI160" i="1"/>
  <c r="AP122" i="1"/>
  <c r="AO163" i="1"/>
  <c r="AO143" i="1"/>
  <c r="AO85" i="1"/>
  <c r="AO179" i="1" s="1"/>
  <c r="AN37" i="1"/>
  <c r="AN39" i="1" s="1"/>
  <c r="AN53" i="1" s="1"/>
  <c r="AQ35" i="1"/>
  <c r="AQ37" i="1" s="1"/>
  <c r="AQ39" i="1" s="1"/>
  <c r="AN160" i="1"/>
  <c r="AN43" i="1"/>
  <c r="AD237" i="1"/>
  <c r="AD220" i="1"/>
  <c r="AH35" i="1"/>
  <c r="AL35" i="1" s="1"/>
  <c r="AH36" i="1"/>
  <c r="AL36" i="1" s="1"/>
  <c r="AQ36" i="1"/>
  <c r="AI40" i="1"/>
  <c r="AD124" i="1"/>
  <c r="AD149" i="1"/>
  <c r="AE120" i="1"/>
  <c r="AJ177" i="1"/>
  <c r="AK83" i="1"/>
  <c r="AO184" i="1"/>
  <c r="AP160" i="1"/>
  <c r="AP53" i="1"/>
  <c r="AP43" i="1"/>
  <c r="AC237" i="1"/>
  <c r="AC220" i="1"/>
  <c r="AC127" i="1"/>
  <c r="AP151" i="1"/>
  <c r="AP100" i="1"/>
  <c r="AP140" i="1"/>
  <c r="AP83" i="1"/>
  <c r="AK162" i="1"/>
  <c r="AK245" i="1"/>
  <c r="AK91" i="1" s="1"/>
  <c r="AG45" i="1"/>
  <c r="AP138" i="1"/>
  <c r="AN238" i="1"/>
  <c r="AN204" i="1"/>
  <c r="AO192" i="1"/>
  <c r="AA148" i="1"/>
  <c r="AB102" i="1"/>
  <c r="AA108" i="1"/>
  <c r="AO53" i="1"/>
  <c r="AO160" i="1"/>
  <c r="AO43" i="1"/>
  <c r="AG43" i="1"/>
  <c r="AQ104" i="1"/>
  <c r="AP185" i="1"/>
  <c r="AQ185" i="1" s="1"/>
  <c r="AA213" i="1"/>
  <c r="AA112" i="1"/>
  <c r="AB110" i="1"/>
  <c r="AB112" i="1" s="1"/>
  <c r="AM43" i="1" l="1"/>
  <c r="AM53" i="1"/>
  <c r="AE124" i="1"/>
  <c r="AF124" i="1" s="1"/>
  <c r="AG124" i="1" s="1"/>
  <c r="AF111" i="1"/>
  <c r="AP85" i="1"/>
  <c r="AQ122" i="1"/>
  <c r="AP163" i="1"/>
  <c r="AQ163" i="1" s="1"/>
  <c r="AD127" i="1"/>
  <c r="AD110" i="1" s="1"/>
  <c r="AQ160" i="1"/>
  <c r="AQ53" i="1"/>
  <c r="AQ41" i="1"/>
  <c r="AQ43" i="1" s="1"/>
  <c r="AO238" i="1"/>
  <c r="AO204" i="1"/>
  <c r="AP192" i="1"/>
  <c r="AQ192" i="1"/>
  <c r="AJ40" i="1"/>
  <c r="AI42" i="1"/>
  <c r="AI44" i="1" s="1"/>
  <c r="AF165" i="1"/>
  <c r="AG111" i="1"/>
  <c r="AH111" i="1" s="1"/>
  <c r="AB213" i="1"/>
  <c r="AB214" i="1" s="1"/>
  <c r="AB216" i="1" s="1"/>
  <c r="AB219" i="1" s="1"/>
  <c r="AA214" i="1"/>
  <c r="AA216" i="1" s="1"/>
  <c r="AA219" i="1" s="1"/>
  <c r="AA81" i="1" s="1"/>
  <c r="AB152" i="1"/>
  <c r="AB147" i="1"/>
  <c r="AB108" i="1"/>
  <c r="AB113" i="1" s="1"/>
  <c r="AB128" i="1" s="1"/>
  <c r="AP143" i="1"/>
  <c r="AC110" i="1"/>
  <c r="AC102" i="1"/>
  <c r="AH37" i="1"/>
  <c r="AH39" i="1" s="1"/>
  <c r="AE149" i="1"/>
  <c r="AF120" i="1"/>
  <c r="AE127" i="1"/>
  <c r="AE237" i="1"/>
  <c r="AE220" i="1"/>
  <c r="AP184" i="1"/>
  <c r="AQ184" i="1" s="1"/>
  <c r="AQ100" i="1"/>
  <c r="AA113" i="1"/>
  <c r="AA128" i="1" s="1"/>
  <c r="AQ83" i="1"/>
  <c r="AP177" i="1"/>
  <c r="AL162" i="1"/>
  <c r="AK177" i="1"/>
  <c r="AL177" i="1" s="1"/>
  <c r="AL83" i="1"/>
  <c r="AM83" i="1"/>
  <c r="AP179" i="1"/>
  <c r="AQ179" i="1" s="1"/>
  <c r="AQ85" i="1"/>
  <c r="AL37" i="1"/>
  <c r="AL39" i="1" s="1"/>
  <c r="AL245" i="1"/>
  <c r="AL91" i="1"/>
  <c r="AD102" i="1" l="1"/>
  <c r="AI45" i="1"/>
  <c r="AF127" i="1"/>
  <c r="AF149" i="1"/>
  <c r="AG120" i="1"/>
  <c r="AL53" i="1"/>
  <c r="AL160" i="1"/>
  <c r="AC213" i="1"/>
  <c r="AC112" i="1"/>
  <c r="AE102" i="1"/>
  <c r="AE110" i="1"/>
  <c r="AP238" i="1"/>
  <c r="AP204" i="1"/>
  <c r="AG218" i="1"/>
  <c r="AC218" i="1"/>
  <c r="AC217" i="1" s="1"/>
  <c r="AB81" i="1"/>
  <c r="AD112" i="1"/>
  <c r="AD213" i="1"/>
  <c r="AD214" i="1" s="1"/>
  <c r="AD216" i="1" s="1"/>
  <c r="AH165" i="1"/>
  <c r="AI111" i="1"/>
  <c r="AA228" i="1"/>
  <c r="AA225" i="1"/>
  <c r="AA89" i="1"/>
  <c r="AA96" i="1" s="1"/>
  <c r="AA129" i="1" s="1"/>
  <c r="AH160" i="1"/>
  <c r="AH53" i="1"/>
  <c r="AH43" i="1"/>
  <c r="AH42" i="1"/>
  <c r="AH44" i="1" s="1"/>
  <c r="AL41" i="1"/>
  <c r="AL43" i="1" s="1"/>
  <c r="AH121" i="1"/>
  <c r="AI121" i="1" s="1"/>
  <c r="AJ121" i="1" s="1"/>
  <c r="AK121" i="1" s="1"/>
  <c r="AL121" i="1" s="1"/>
  <c r="AM121" i="1" s="1"/>
  <c r="AN121" i="1" s="1"/>
  <c r="AO121" i="1" s="1"/>
  <c r="AP121" i="1" s="1"/>
  <c r="AQ121" i="1" s="1"/>
  <c r="AM177" i="1"/>
  <c r="AN177" i="1"/>
  <c r="AD148" i="1"/>
  <c r="AD108" i="1"/>
  <c r="AC148" i="1"/>
  <c r="AC108" i="1"/>
  <c r="AM162" i="1"/>
  <c r="AM245" i="1"/>
  <c r="AM91" i="1" s="1"/>
  <c r="AQ238" i="1"/>
  <c r="C279" i="1" s="1"/>
  <c r="AQ204" i="1"/>
  <c r="AF189" i="1"/>
  <c r="AG165" i="1"/>
  <c r="AG189" i="1" s="1"/>
  <c r="AK40" i="1"/>
  <c r="AL40" i="1" s="1"/>
  <c r="AL42" i="1" s="1"/>
  <c r="AL44" i="1" s="1"/>
  <c r="AJ42" i="1"/>
  <c r="AJ44" i="1" s="1"/>
  <c r="AJ45" i="1" l="1"/>
  <c r="AI207" i="1"/>
  <c r="AQ177" i="1"/>
  <c r="AL45" i="1"/>
  <c r="E10" i="4"/>
  <c r="E12" i="4" s="1"/>
  <c r="AC214" i="1"/>
  <c r="AC216" i="1" s="1"/>
  <c r="AC219" i="1" s="1"/>
  <c r="AN245" i="1"/>
  <c r="AN91" i="1" s="1"/>
  <c r="AN162" i="1"/>
  <c r="AE213" i="1"/>
  <c r="AE214" i="1" s="1"/>
  <c r="AE216" i="1" s="1"/>
  <c r="AE112" i="1"/>
  <c r="AH45" i="1"/>
  <c r="AH207" i="1"/>
  <c r="AH189" i="1"/>
  <c r="AJ207" i="1"/>
  <c r="AD113" i="1"/>
  <c r="AD128" i="1" s="1"/>
  <c r="AH120" i="1"/>
  <c r="AG127" i="1"/>
  <c r="AE148" i="1"/>
  <c r="AE108" i="1"/>
  <c r="AC113" i="1"/>
  <c r="AC128" i="1" s="1"/>
  <c r="AM40" i="1"/>
  <c r="AK42" i="1"/>
  <c r="AK44" i="1" s="1"/>
  <c r="AG220" i="1"/>
  <c r="AG237" i="1"/>
  <c r="AI165" i="1"/>
  <c r="AI189" i="1" s="1"/>
  <c r="AJ111" i="1"/>
  <c r="AB228" i="1"/>
  <c r="AB89" i="1"/>
  <c r="AB96" i="1" s="1"/>
  <c r="AB225" i="1"/>
  <c r="AF237" i="1"/>
  <c r="AF220" i="1"/>
  <c r="AF110" i="1"/>
  <c r="AF102" i="1"/>
  <c r="AK45" i="1" l="1"/>
  <c r="AE113" i="1"/>
  <c r="AE128" i="1" s="1"/>
  <c r="AO245" i="1"/>
  <c r="AO91" i="1" s="1"/>
  <c r="AO162" i="1"/>
  <c r="AG102" i="1"/>
  <c r="AF148" i="1"/>
  <c r="AF108" i="1"/>
  <c r="AK111" i="1"/>
  <c r="AJ165" i="1"/>
  <c r="AH149" i="1"/>
  <c r="AI120" i="1"/>
  <c r="H4" i="6"/>
  <c r="AG222" i="1"/>
  <c r="AD218" i="1"/>
  <c r="AD217" i="1" s="1"/>
  <c r="AC81" i="1"/>
  <c r="AH124" i="1"/>
  <c r="AI124" i="1" s="1"/>
  <c r="AJ124" i="1" s="1"/>
  <c r="AB129" i="1"/>
  <c r="AI220" i="1"/>
  <c r="AI237" i="1"/>
  <c r="AF213" i="1"/>
  <c r="AF112" i="1"/>
  <c r="AG110" i="1"/>
  <c r="AG112" i="1" s="1"/>
  <c r="AH237" i="1"/>
  <c r="AH220" i="1"/>
  <c r="AN40" i="1"/>
  <c r="AM42" i="1"/>
  <c r="AM44" i="1" s="1"/>
  <c r="AK207" i="1"/>
  <c r="AL207" i="1" s="1"/>
  <c r="AM45" i="1" l="1"/>
  <c r="AH127" i="1"/>
  <c r="AH102" i="1" s="1"/>
  <c r="AD219" i="1"/>
  <c r="AO40" i="1"/>
  <c r="AN42" i="1"/>
  <c r="AN44" i="1" s="1"/>
  <c r="AK165" i="1"/>
  <c r="AK189" i="1" s="1"/>
  <c r="AL111" i="1"/>
  <c r="AM111" i="1" s="1"/>
  <c r="AK124" i="1"/>
  <c r="AL124" i="1" s="1"/>
  <c r="AG152" i="1"/>
  <c r="AG147" i="1"/>
  <c r="AG108" i="1"/>
  <c r="AG113" i="1" s="1"/>
  <c r="AG128" i="1" s="1"/>
  <c r="AF214" i="1"/>
  <c r="AF216" i="1" s="1"/>
  <c r="AG213" i="1"/>
  <c r="AG214" i="1" s="1"/>
  <c r="AG216" i="1" s="1"/>
  <c r="AI149" i="1"/>
  <c r="AI127" i="1"/>
  <c r="AJ120" i="1"/>
  <c r="AF113" i="1"/>
  <c r="AF128" i="1" s="1"/>
  <c r="AP245" i="1"/>
  <c r="AP91" i="1" s="1"/>
  <c r="AP162" i="1"/>
  <c r="AQ162" i="1" s="1"/>
  <c r="AH110" i="1"/>
  <c r="AJ189" i="1"/>
  <c r="AM207" i="1"/>
  <c r="AC228" i="1"/>
  <c r="AC225" i="1"/>
  <c r="AC89" i="1"/>
  <c r="AC96" i="1" s="1"/>
  <c r="AN45" i="1" l="1"/>
  <c r="AM124" i="1"/>
  <c r="AN207" i="1"/>
  <c r="AC129" i="1"/>
  <c r="AK120" i="1"/>
  <c r="AJ127" i="1"/>
  <c r="AJ149" i="1"/>
  <c r="AE218" i="1"/>
  <c r="AE217" i="1" s="1"/>
  <c r="AD81" i="1"/>
  <c r="AQ245" i="1"/>
  <c r="AQ91" i="1"/>
  <c r="AN111" i="1"/>
  <c r="AM165" i="1"/>
  <c r="AL165" i="1"/>
  <c r="AL189" i="1" s="1"/>
  <c r="AJ237" i="1"/>
  <c r="AJ220" i="1"/>
  <c r="AP40" i="1"/>
  <c r="AO42" i="1"/>
  <c r="AO44" i="1" s="1"/>
  <c r="AK220" i="1"/>
  <c r="AK237" i="1"/>
  <c r="AH213" i="1"/>
  <c r="AH112" i="1"/>
  <c r="AI102" i="1"/>
  <c r="AI110" i="1"/>
  <c r="AH148" i="1"/>
  <c r="AH108" i="1"/>
  <c r="AO45" i="1" l="1"/>
  <c r="AJ102" i="1"/>
  <c r="AJ110" i="1"/>
  <c r="AL220" i="1"/>
  <c r="AL237" i="1"/>
  <c r="AM189" i="1"/>
  <c r="AI213" i="1"/>
  <c r="AI214" i="1" s="1"/>
  <c r="AI216" i="1" s="1"/>
  <c r="AI112" i="1"/>
  <c r="AI148" i="1"/>
  <c r="AI108" i="1"/>
  <c r="AD225" i="1"/>
  <c r="AD228" i="1"/>
  <c r="AD89" i="1"/>
  <c r="AD96" i="1" s="1"/>
  <c r="AL120" i="1"/>
  <c r="AK127" i="1"/>
  <c r="AK149" i="1"/>
  <c r="AP42" i="1"/>
  <c r="AP44" i="1" s="1"/>
  <c r="AQ40" i="1"/>
  <c r="AH214" i="1"/>
  <c r="AH216" i="1" s="1"/>
  <c r="AO111" i="1"/>
  <c r="AN165" i="1"/>
  <c r="AN189" i="1" s="1"/>
  <c r="AN124" i="1"/>
  <c r="AE219" i="1"/>
  <c r="AH113" i="1"/>
  <c r="AH128" i="1" s="1"/>
  <c r="AP45" i="1" l="1"/>
  <c r="AO207" i="1"/>
  <c r="AO124" i="1" s="1"/>
  <c r="D24" i="6"/>
  <c r="AQ42" i="1"/>
  <c r="AQ44" i="1" s="1"/>
  <c r="AM220" i="1"/>
  <c r="AM237" i="1"/>
  <c r="AJ213" i="1"/>
  <c r="AJ112" i="1"/>
  <c r="AF218" i="1"/>
  <c r="AF217" i="1" s="1"/>
  <c r="AE81" i="1"/>
  <c r="AJ148" i="1"/>
  <c r="AJ108" i="1"/>
  <c r="AK110" i="1"/>
  <c r="AK102" i="1"/>
  <c r="AL127" i="1"/>
  <c r="AM120" i="1"/>
  <c r="AD129" i="1"/>
  <c r="AO165" i="1"/>
  <c r="AP111" i="1"/>
  <c r="AP207" i="1"/>
  <c r="AQ207" i="1" s="1"/>
  <c r="AL222" i="1"/>
  <c r="I4" i="6"/>
  <c r="AN220" i="1"/>
  <c r="AN237" i="1"/>
  <c r="AI113" i="1"/>
  <c r="AI128" i="1" s="1"/>
  <c r="AJ113" i="1" l="1"/>
  <c r="AJ128" i="1" s="1"/>
  <c r="AP124" i="1"/>
  <c r="AQ124" i="1" s="1"/>
  <c r="AE225" i="1"/>
  <c r="AE228" i="1"/>
  <c r="AE89" i="1"/>
  <c r="AE96" i="1" s="1"/>
  <c r="AL110" i="1"/>
  <c r="AL112" i="1" s="1"/>
  <c r="AK213" i="1"/>
  <c r="AK214" i="1" s="1"/>
  <c r="AK216" i="1" s="1"/>
  <c r="AK112" i="1"/>
  <c r="AP165" i="1"/>
  <c r="AP189" i="1" s="1"/>
  <c r="AQ111" i="1"/>
  <c r="AM127" i="1"/>
  <c r="AM149" i="1"/>
  <c r="AN120" i="1"/>
  <c r="AQ45" i="1"/>
  <c r="F10" i="4"/>
  <c r="F12" i="4" s="1"/>
  <c r="AO189" i="1"/>
  <c r="AF219" i="1"/>
  <c r="AF81" i="1" s="1"/>
  <c r="AG217" i="1"/>
  <c r="AG219" i="1" s="1"/>
  <c r="AJ214" i="1"/>
  <c r="AJ216" i="1" s="1"/>
  <c r="AK148" i="1"/>
  <c r="AL102" i="1"/>
  <c r="AK108" i="1"/>
  <c r="AK113" i="1" s="1"/>
  <c r="AK128" i="1" s="1"/>
  <c r="AQ165" i="1" l="1"/>
  <c r="AQ189" i="1" s="1"/>
  <c r="C282" i="1" s="1"/>
  <c r="AO220" i="1"/>
  <c r="AO237" i="1"/>
  <c r="AN127" i="1"/>
  <c r="AN149" i="1"/>
  <c r="AO120" i="1"/>
  <c r="AL213" i="1"/>
  <c r="AL214" i="1" s="1"/>
  <c r="AL216" i="1" s="1"/>
  <c r="AE129" i="1"/>
  <c r="AP220" i="1"/>
  <c r="AP237" i="1"/>
  <c r="AL147" i="1"/>
  <c r="AL152" i="1"/>
  <c r="AL108" i="1"/>
  <c r="AL113" i="1" s="1"/>
  <c r="AL128" i="1" s="1"/>
  <c r="AH218" i="1"/>
  <c r="AH217" i="1" s="1"/>
  <c r="AL218" i="1"/>
  <c r="AG81" i="1"/>
  <c r="C13" i="4"/>
  <c r="AM102" i="1"/>
  <c r="AM110" i="1"/>
  <c r="AF228" i="1"/>
  <c r="AF225" i="1"/>
  <c r="AF89" i="1"/>
  <c r="AF96" i="1" s="1"/>
  <c r="AQ237" i="1" l="1"/>
  <c r="AQ220" i="1"/>
  <c r="AQ222" i="1" s="1"/>
  <c r="C283" i="1" s="1"/>
  <c r="C285" i="1" s="1"/>
  <c r="C8" i="1" s="1"/>
  <c r="C16" i="4"/>
  <c r="C18" i="4" s="1"/>
  <c r="C6" i="1" s="1"/>
  <c r="AM112" i="1"/>
  <c r="AM213" i="1"/>
  <c r="AO149" i="1"/>
  <c r="AO127" i="1"/>
  <c r="AP120" i="1"/>
  <c r="G11" i="6" a="1"/>
  <c r="AF129" i="1"/>
  <c r="AG228" i="1"/>
  <c r="AG89" i="1"/>
  <c r="AG96" i="1" s="1"/>
  <c r="AG225" i="1"/>
  <c r="AH219" i="1"/>
  <c r="AM148" i="1"/>
  <c r="AM108" i="1"/>
  <c r="AM113" i="1" s="1"/>
  <c r="AM128" i="1" s="1"/>
  <c r="AN102" i="1"/>
  <c r="AN110" i="1"/>
  <c r="C9" i="1" l="1"/>
  <c r="C295" i="1" s="1"/>
  <c r="C296" i="1" s="1"/>
  <c r="P15" i="6"/>
  <c r="P25" i="6" s="1"/>
  <c r="O13" i="6"/>
  <c r="O23" i="6" s="1"/>
  <c r="Q15" i="6"/>
  <c r="Q25" i="6" s="1"/>
  <c r="O14" i="6"/>
  <c r="O24" i="6" s="1"/>
  <c r="S16" i="6"/>
  <c r="S26" i="6" s="1"/>
  <c r="J4" i="6"/>
  <c r="P13" i="6"/>
  <c r="P23" i="6" s="1"/>
  <c r="O15" i="6"/>
  <c r="O25" i="6" s="1"/>
  <c r="R13" i="6"/>
  <c r="R23" i="6" s="1"/>
  <c r="S13" i="6"/>
  <c r="S23" i="6" s="1"/>
  <c r="R17" i="6"/>
  <c r="R27" i="6" s="1"/>
  <c r="S17" i="6"/>
  <c r="S27" i="6" s="1"/>
  <c r="R15" i="6"/>
  <c r="R25" i="6" s="1"/>
  <c r="P17" i="6"/>
  <c r="P27" i="6" s="1"/>
  <c r="Q16" i="6"/>
  <c r="Q26" i="6" s="1"/>
  <c r="G11" i="6"/>
  <c r="C18" i="6" s="1"/>
  <c r="O34" i="6" s="1"/>
  <c r="S14" i="6"/>
  <c r="S24" i="6" s="1"/>
  <c r="Q13" i="6"/>
  <c r="Q23" i="6" s="1"/>
  <c r="S15" i="6"/>
  <c r="S25" i="6" s="1"/>
  <c r="O17" i="6"/>
  <c r="O27" i="6" s="1"/>
  <c r="O16" i="6"/>
  <c r="O26" i="6" s="1"/>
  <c r="P16" i="6"/>
  <c r="P26" i="6" s="1"/>
  <c r="G13" i="6"/>
  <c r="G14" i="6" s="1" a="1"/>
  <c r="G14" i="6" s="1"/>
  <c r="C19" i="6" s="1"/>
  <c r="Q17" i="6"/>
  <c r="Q27" i="6" s="1"/>
  <c r="R14" i="6"/>
  <c r="R24" i="6" s="1"/>
  <c r="P14" i="6"/>
  <c r="P24" i="6" s="1"/>
  <c r="R16" i="6"/>
  <c r="R26" i="6" s="1"/>
  <c r="Q14" i="6"/>
  <c r="Q24" i="6" s="1"/>
  <c r="AM214" i="1"/>
  <c r="AM216" i="1" s="1"/>
  <c r="AO102" i="1"/>
  <c r="AO110" i="1"/>
  <c r="AI218" i="1"/>
  <c r="AI217" i="1" s="1"/>
  <c r="AH81" i="1"/>
  <c r="AG129" i="1"/>
  <c r="AN213" i="1"/>
  <c r="AN214" i="1" s="1"/>
  <c r="AN216" i="1" s="1"/>
  <c r="AN112" i="1"/>
  <c r="AP127" i="1"/>
  <c r="AQ120" i="1"/>
  <c r="AQ127" i="1" s="1"/>
  <c r="AP149" i="1"/>
  <c r="AN148" i="1"/>
  <c r="AN108" i="1"/>
  <c r="Q34" i="6" l="1"/>
  <c r="R37" i="6"/>
  <c r="O36" i="6"/>
  <c r="R33" i="6"/>
  <c r="O37" i="6"/>
  <c r="O35" i="6"/>
  <c r="S35" i="6"/>
  <c r="P33" i="6"/>
  <c r="S34" i="6"/>
  <c r="S36" i="6"/>
  <c r="C20" i="6"/>
  <c r="P36" i="6"/>
  <c r="Q37" i="6"/>
  <c r="S37" i="6"/>
  <c r="Q33" i="6"/>
  <c r="Q36" i="6"/>
  <c r="S33" i="6"/>
  <c r="R36" i="6"/>
  <c r="P37" i="6"/>
  <c r="O33" i="6"/>
  <c r="Q35" i="6"/>
  <c r="R34" i="6"/>
  <c r="R35" i="6"/>
  <c r="P35" i="6"/>
  <c r="P34" i="6"/>
  <c r="C297" i="1"/>
  <c r="AP110" i="1"/>
  <c r="AP102" i="1"/>
  <c r="AI219" i="1"/>
  <c r="AN113" i="1"/>
  <c r="AN128" i="1" s="1"/>
  <c r="AO213" i="1"/>
  <c r="AO214" i="1" s="1"/>
  <c r="AO216" i="1" s="1"/>
  <c r="AO112" i="1"/>
  <c r="AO148" i="1"/>
  <c r="AO108" i="1"/>
  <c r="AO113" i="1" s="1"/>
  <c r="AO128" i="1" s="1"/>
  <c r="AH225" i="1"/>
  <c r="AH89" i="1"/>
  <c r="AH96" i="1" s="1"/>
  <c r="AH228" i="1"/>
  <c r="AJ218" i="1" l="1"/>
  <c r="AJ217" i="1" s="1"/>
  <c r="AI81" i="1"/>
  <c r="AP148" i="1"/>
  <c r="AQ102" i="1"/>
  <c r="AP108" i="1"/>
  <c r="AP112" i="1"/>
  <c r="AP213" i="1"/>
  <c r="AQ110" i="1"/>
  <c r="AQ112" i="1" s="1"/>
  <c r="AH129" i="1"/>
  <c r="AP214" i="1" l="1"/>
  <c r="AP216" i="1" s="1"/>
  <c r="AQ213" i="1"/>
  <c r="AQ214" i="1" s="1"/>
  <c r="AQ216" i="1" s="1"/>
  <c r="AJ219" i="1"/>
  <c r="AP113" i="1"/>
  <c r="AP128" i="1" s="1"/>
  <c r="AQ152" i="1"/>
  <c r="AQ147" i="1"/>
  <c r="AQ108" i="1"/>
  <c r="AQ113" i="1" s="1"/>
  <c r="AQ128" i="1" s="1"/>
  <c r="AI228" i="1"/>
  <c r="AI89" i="1"/>
  <c r="AI96" i="1" s="1"/>
  <c r="AI225" i="1"/>
  <c r="AI129" i="1" l="1"/>
  <c r="AK218" i="1"/>
  <c r="AK217" i="1" s="1"/>
  <c r="AJ81" i="1"/>
  <c r="AJ225" i="1" l="1"/>
  <c r="AJ228" i="1"/>
  <c r="AJ89" i="1"/>
  <c r="AJ96" i="1" s="1"/>
  <c r="AK219" i="1"/>
  <c r="AK81" i="1" s="1"/>
  <c r="AL217" i="1"/>
  <c r="AL219" i="1" s="1"/>
  <c r="AK228" i="1" l="1"/>
  <c r="AK225" i="1"/>
  <c r="AK89" i="1"/>
  <c r="AK96" i="1" s="1"/>
  <c r="AQ218" i="1"/>
  <c r="AM218" i="1"/>
  <c r="AM217" i="1" s="1"/>
  <c r="AL81" i="1"/>
  <c r="AJ129" i="1"/>
  <c r="AM219" i="1" l="1"/>
  <c r="AL89" i="1"/>
  <c r="AL96" i="1" s="1"/>
  <c r="AL228" i="1"/>
  <c r="AL225" i="1"/>
  <c r="AK129" i="1"/>
  <c r="AL129" i="1" l="1"/>
  <c r="AM81" i="1"/>
  <c r="AN218" i="1"/>
  <c r="AN217" i="1" s="1"/>
  <c r="AN219" i="1" l="1"/>
  <c r="AM228" i="1"/>
  <c r="AM225" i="1"/>
  <c r="AM89" i="1"/>
  <c r="AM96" i="1" s="1"/>
  <c r="AM129" i="1" l="1"/>
  <c r="AN81" i="1"/>
  <c r="AO218" i="1"/>
  <c r="AO217" i="1" s="1"/>
  <c r="AO219" i="1" l="1"/>
  <c r="AN225" i="1"/>
  <c r="AN228" i="1"/>
  <c r="AN89" i="1"/>
  <c r="AN96" i="1" s="1"/>
  <c r="AN129" i="1" l="1"/>
  <c r="AP218" i="1"/>
  <c r="AP217" i="1" s="1"/>
  <c r="AO81" i="1"/>
  <c r="AP219" i="1" l="1"/>
  <c r="AP81" i="1" s="1"/>
  <c r="AQ217" i="1"/>
  <c r="AQ219" i="1" s="1"/>
  <c r="AO228" i="1"/>
  <c r="AO89" i="1"/>
  <c r="AO96" i="1" s="1"/>
  <c r="AO225" i="1"/>
  <c r="C21" i="6" l="1"/>
  <c r="AQ81" i="1"/>
  <c r="AO129" i="1"/>
  <c r="AP228" i="1"/>
  <c r="AP225" i="1"/>
  <c r="AP89" i="1"/>
  <c r="AP96" i="1" s="1"/>
  <c r="AP129" i="1" l="1"/>
  <c r="AQ228" i="1"/>
  <c r="AQ89" i="1"/>
  <c r="AQ96" i="1" s="1"/>
  <c r="AQ225" i="1"/>
  <c r="P46" i="6"/>
  <c r="P44" i="6"/>
  <c r="O46" i="6"/>
  <c r="O44" i="6"/>
  <c r="S47" i="6"/>
  <c r="S45" i="6"/>
  <c r="S43" i="6"/>
  <c r="R45" i="6"/>
  <c r="Q45" i="6"/>
  <c r="P45" i="6"/>
  <c r="O45" i="6"/>
  <c r="S44" i="6"/>
  <c r="R44" i="6"/>
  <c r="R47" i="6"/>
  <c r="R43" i="6"/>
  <c r="S46" i="6"/>
  <c r="R46" i="6"/>
  <c r="Q46" i="6"/>
  <c r="Q44" i="6"/>
  <c r="Q43" i="6"/>
  <c r="P43" i="6"/>
  <c r="O43" i="6"/>
  <c r="Q47" i="6"/>
  <c r="P47" i="6"/>
  <c r="O47" i="6"/>
  <c r="C23" i="6"/>
  <c r="C25" i="6" s="1"/>
  <c r="AQ129" i="1" l="1"/>
  <c r="Y226" i="1" l="1"/>
  <c r="Y227" i="1"/>
  <c r="Y229" i="1"/>
  <c r="Z229" i="1"/>
  <c r="Z227" i="1"/>
  <c r="Z226" i="1"/>
  <c r="J229" i="1"/>
  <c r="J227" i="1"/>
  <c r="J226" i="1"/>
  <c r="AO226" i="1"/>
  <c r="AO227" i="1"/>
  <c r="AO229" i="1"/>
  <c r="AE226" i="1"/>
  <c r="AE227" i="1"/>
  <c r="AE229" i="1"/>
  <c r="AM226" i="1"/>
  <c r="AM227" i="1"/>
  <c r="AM229" i="1"/>
  <c r="X226" i="1"/>
  <c r="X227" i="1"/>
  <c r="X229" i="1"/>
  <c r="M226" i="1"/>
  <c r="M227" i="1"/>
  <c r="M229" i="1"/>
  <c r="E226" i="1"/>
  <c r="E227" i="1"/>
  <c r="E229" i="1"/>
  <c r="AG226" i="1"/>
  <c r="AG227" i="1"/>
  <c r="AG229" i="1"/>
  <c r="W226" i="1"/>
  <c r="W227" i="1"/>
  <c r="W229" i="1"/>
  <c r="L226" i="1"/>
  <c r="L227" i="1"/>
  <c r="L229" i="1"/>
  <c r="K226" i="1"/>
  <c r="K227" i="1"/>
  <c r="K229" i="1"/>
  <c r="AP226" i="1"/>
  <c r="AP227" i="1"/>
  <c r="AP229" i="1"/>
  <c r="H229" i="1"/>
  <c r="H227" i="1"/>
  <c r="H226" i="1"/>
  <c r="U226" i="1"/>
  <c r="U227" i="1"/>
  <c r="U229" i="1"/>
  <c r="AA226" i="1"/>
  <c r="AA227" i="1"/>
  <c r="AA229" i="1"/>
  <c r="F226" i="1"/>
  <c r="F227" i="1"/>
  <c r="F229" i="1"/>
  <c r="AH226" i="1"/>
  <c r="AH227" i="1"/>
  <c r="AH229" i="1"/>
  <c r="AL226" i="1"/>
  <c r="AL227" i="1"/>
  <c r="AL229" i="1"/>
  <c r="AN226" i="1"/>
  <c r="AN227" i="1"/>
  <c r="AN229" i="1"/>
  <c r="T226" i="1"/>
  <c r="T227" i="1"/>
  <c r="T229" i="1"/>
  <c r="AF226" i="1"/>
  <c r="AF227" i="1"/>
  <c r="AF229" i="1"/>
  <c r="P226" i="1"/>
  <c r="P227" i="1"/>
  <c r="P229" i="1"/>
  <c r="G226" i="1"/>
  <c r="G227" i="1"/>
  <c r="G229" i="1"/>
  <c r="AD226" i="1"/>
  <c r="AD227" i="1"/>
  <c r="AD229" i="1"/>
  <c r="AJ226" i="1"/>
  <c r="AJ227" i="1"/>
  <c r="AJ229" i="1"/>
  <c r="V226" i="1"/>
  <c r="V227" i="1"/>
  <c r="V229" i="1"/>
  <c r="AI226" i="1"/>
  <c r="AI227" i="1"/>
  <c r="AI229" i="1"/>
  <c r="D226" i="1"/>
  <c r="D227" i="1"/>
  <c r="D229" i="1"/>
  <c r="AK226" i="1"/>
  <c r="AK227" i="1"/>
  <c r="AK229" i="1"/>
  <c r="O226" i="1"/>
  <c r="O227" i="1"/>
  <c r="O229" i="1"/>
  <c r="AQ226" i="1"/>
  <c r="AQ227" i="1"/>
  <c r="AQ229" i="1"/>
  <c r="I226" i="1"/>
  <c r="I227" i="1"/>
  <c r="I229" i="1"/>
  <c r="AB226" i="1"/>
  <c r="AB227" i="1"/>
  <c r="AB229" i="1"/>
  <c r="N226" i="1"/>
  <c r="N227" i="1"/>
  <c r="N229" i="1"/>
  <c r="R226" i="1"/>
  <c r="R227" i="1"/>
  <c r="R229" i="1"/>
  <c r="S226" i="1"/>
  <c r="S227" i="1"/>
  <c r="S229" i="1"/>
  <c r="AC226" i="1"/>
  <c r="AC227" i="1"/>
  <c r="AC229" i="1"/>
  <c r="Q226" i="1"/>
  <c r="Q227" i="1"/>
  <c r="Q2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B17" authorId="0" shapeId="0" xr:uid="{00000000-0006-0000-0000-000001000000}">
      <text>
        <r>
          <rPr>
            <sz val="11"/>
            <color theme="1"/>
            <rFont val="Calibri"/>
            <family val="2"/>
            <scheme val="minor"/>
          </rPr>
          <t xml:space="preserve">Square Pharma's CAGR was 10.39% from 2020 to 2024. To maintain this CAGR, Square Pharma needs to make a revenue of BDT 19,538.0352 million, which is only -2.93% less than the 3rd quarter. but historically, this company's revenue was 7.04% less in the 4th quarter. According to our analysis, the company cannot maintain a CAGR of 10.39% this year.
	-Tazbin Abedin
</t>
        </r>
      </text>
    </comment>
    <comment ref="AG17" authorId="0" shapeId="0" xr:uid="{00000000-0006-0000-0000-000002000000}">
      <text>
        <r>
          <rPr>
            <sz val="11"/>
            <color theme="1"/>
            <rFont val="Calibri"/>
            <family val="2"/>
            <scheme val="minor"/>
          </rPr>
          <t xml:space="preserve"> Forecasted  CAGR of pharmaceutical industry will be around 15% within 2032. Comparing historical GDP growth and CAGR with forecasted GDP growth and CAGR, the 15% forecasted  CAGR looks unattainable to us within our forecasted horizon. But the governments' supportive regulatory policies, grants for R&amp;D and etc will help the industry to grow faster than before, and we expect it to add 3%. Historically, Square Pharmaceuticals has maintained a higher CAGR than that of the industry. All these calculations are provided in the "Workings" sheet in the table titled "GDP &amp; CAGR".
	-Tazbin Abedin</t>
        </r>
      </text>
    </comment>
    <comment ref="AB18" authorId="0" shapeId="0" xr:uid="{00000000-0006-0000-0000-000003000000}">
      <text>
        <r>
          <rPr>
            <sz val="11"/>
            <color theme="1"/>
            <rFont val="Calibri"/>
            <family val="2"/>
            <scheme val="minor"/>
          </rPr>
          <t>Square Pharmaceutical PLC already produces API in its Pabna unit, and so its impact is already in the historical data of the company. This company has not built any plant on Munshiganj API Park, and we assumed that it is not possible to build a factory and start production within our investment horizon and so we did not consider further impact of API in the COGS.
	-Mashrur Auwad (Nahiyan)</t>
        </r>
      </text>
    </comment>
    <comment ref="AA38" authorId="0" shapeId="0" xr:uid="{00000000-0006-0000-0000-000008000000}">
      <text>
        <r>
          <rPr>
            <sz val="11"/>
            <color theme="1"/>
            <rFont val="Calibri"/>
            <family val="2"/>
            <scheme val="minor"/>
          </rPr>
          <t>It is very lengthy process to determine the net profit of all the three associates. So we've determined it on average basis.
	-Mashrur Auwad Nahiyan
_Marked as resolved_
	-Mashrur Auwad Nahiyan
_Re-opened_
	-Mashrur Auwad Nahiyan</t>
        </r>
      </text>
    </comment>
    <comment ref="AA120" authorId="0" shapeId="0" xr:uid="{00000000-0006-0000-0000-000007000000}">
      <text>
        <r>
          <rPr>
            <sz val="11"/>
            <color theme="1"/>
            <rFont val="Calibri"/>
            <family val="2"/>
            <scheme val="minor"/>
          </rPr>
          <t>This value is calculated by following the process mentioned in the notes of annual report. Here, 0.15 is the tax rate of gain on marketable securities.
	-Tazbin Abedin</t>
        </r>
      </text>
    </comment>
    <comment ref="AA121" authorId="0" shapeId="0" xr:uid="{00000000-0006-0000-0000-000004000000}">
      <text>
        <r>
          <rPr>
            <sz val="11"/>
            <color theme="1"/>
            <rFont val="Calibri"/>
            <family val="2"/>
            <scheme val="minor"/>
          </rPr>
          <t>Square Pharmaceuticals may benefit from tax holidays and exemptions under Bangladesh's policy for (API) production. Still the % of tax holiday is not published. So, we have estimated that the total tax holiday will be 4.2% of Net Income based on previous years' data.
	-Tazbin Abedin</t>
        </r>
      </text>
    </comment>
    <comment ref="AA123" authorId="0" shapeId="0" xr:uid="{00000000-0006-0000-0000-000006000000}">
      <text>
        <r>
          <rPr>
            <sz val="11"/>
            <color theme="1"/>
            <rFont val="Calibri"/>
            <family val="2"/>
            <scheme val="minor"/>
          </rPr>
          <t>This value is calculated by following the process mentioned in the notes of annual report.
	-Tazbin Abedin</t>
        </r>
      </text>
    </comment>
    <comment ref="C265" authorId="0" shapeId="0" xr:uid="{00000000-0006-0000-0000-000005000000}">
      <text>
        <r>
          <rPr>
            <sz val="11"/>
            <color theme="1"/>
            <rFont val="Calibri"/>
            <family val="2"/>
            <scheme val="minor"/>
          </rPr>
          <t>HP:
Beta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13" authorId="0" shapeId="0" xr:uid="{00000000-0006-0000-0100-000001000000}">
      <text>
        <r>
          <rPr>
            <sz val="11"/>
            <color theme="1"/>
            <rFont val="Calibri"/>
            <family val="2"/>
            <scheme val="minor"/>
          </rPr>
          <t xml:space="preserve">HP:
58.6% of the variation in the stock return is explained by the variation in market return after adjusting all variables
</t>
        </r>
      </text>
    </comment>
    <comment ref="O19" authorId="0" shapeId="0" xr:uid="{00000000-0006-0000-0100-000002000000}">
      <text>
        <r>
          <rPr>
            <sz val="11"/>
            <color theme="1"/>
            <rFont val="Calibri"/>
            <family val="2"/>
            <scheme val="minor"/>
          </rPr>
          <t>HP:
Small value of Significant F indicates that the 
regression model as a whole is statistically significant.</t>
        </r>
      </text>
    </comment>
    <comment ref="K25" authorId="0" shapeId="0" xr:uid="{00000000-0006-0000-0100-000003000000}">
      <text>
        <r>
          <rPr>
            <sz val="11"/>
            <color theme="1"/>
            <rFont val="Calibri"/>
            <family val="2"/>
            <scheme val="minor"/>
          </rPr>
          <t>HP:
Beta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5" authorId="0" shapeId="0" xr:uid="{00000000-0006-0000-0800-000001000000}">
      <text>
        <r>
          <rPr>
            <sz val="11"/>
            <color theme="1"/>
            <rFont val="Calibri"/>
            <family val="2"/>
            <scheme val="minor"/>
          </rPr>
          <t>Probability of earning manipulation
	-Tazbin Abedin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B4" authorId="0" shapeId="0" xr:uid="{00000000-0006-0000-0900-000008000000}">
      <text>
        <r>
          <rPr>
            <sz val="11"/>
            <color theme="1"/>
            <rFont val="Calibri"/>
            <family val="2"/>
            <scheme val="minor"/>
          </rPr>
          <t>Because of lack of information we could not forecast profit of non controlling interest, and so we have forecast it based on last 4 quarter's growth rate
	-Tazbin Abedin</t>
        </r>
      </text>
    </comment>
    <comment ref="Y5" authorId="0" shapeId="0" xr:uid="{00000000-0006-0000-0900-000006000000}">
      <text>
        <r>
          <rPr>
            <sz val="11"/>
            <color theme="1"/>
            <rFont val="Calibri"/>
            <family val="2"/>
            <scheme val="minor"/>
          </rPr>
          <t>According to the government, forecasted  CAGR of pharmaceutical industry will be around 15% within 2032
	-Tazbin Abedin</t>
        </r>
      </text>
    </comment>
    <comment ref="Y6" authorId="0" shapeId="0" xr:uid="{00000000-0006-0000-0900-000004000000}">
      <text>
        <r>
          <rPr>
            <sz val="11"/>
            <color theme="1"/>
            <rFont val="Calibri"/>
            <family val="2"/>
            <scheme val="minor"/>
          </rPr>
          <t>Historically Square Pharmaceuticals has maintained a higher CAGR than the that of industry.
	-Tazbin Abedin</t>
        </r>
      </text>
    </comment>
    <comment ref="Y7" authorId="0" shapeId="0" xr:uid="{00000000-0006-0000-0900-000005000000}">
      <text>
        <r>
          <rPr>
            <sz val="11"/>
            <color theme="1"/>
            <rFont val="Calibri"/>
            <family val="2"/>
            <scheme val="minor"/>
          </rPr>
          <t>comparing historical GDP growth and CAGR with forecasted GDP growth and CAGR, the 15% forecasted  CAGR looks unattainable to us within our forecasted horizon. but the governments' supportive regulatory policies, grants for R&amp;D and etc will help the industry to grow faster than before and we expect it to be 3%
	-Tazbin Abedin</t>
        </r>
      </text>
    </comment>
    <comment ref="B10" authorId="0" shapeId="0" xr:uid="{00000000-0006-0000-0900-000001000000}">
      <text>
        <r>
          <rPr>
            <sz val="11"/>
            <color theme="1"/>
            <rFont val="Calibri"/>
            <family val="2"/>
            <scheme val="minor"/>
          </rPr>
          <t>Seasonality pattern exist
	-Tazbin Abedin</t>
        </r>
      </text>
    </comment>
    <comment ref="B68" authorId="0" shapeId="0" xr:uid="{00000000-0006-0000-0900-000007000000}">
      <text>
        <r>
          <rPr>
            <sz val="11"/>
            <color theme="1"/>
            <rFont val="Calibri"/>
            <family val="2"/>
            <scheme val="minor"/>
          </rPr>
          <t>this information has been collected from the annual report
	-Tazbin Abedin</t>
        </r>
      </text>
    </comment>
    <comment ref="F68" authorId="0" shapeId="0" xr:uid="{00000000-0006-0000-0900-000002000000}">
      <text>
        <r>
          <rPr>
            <sz val="11"/>
            <color theme="1"/>
            <rFont val="Calibri"/>
            <family val="2"/>
            <scheme val="minor"/>
          </rPr>
          <t>5%+ 1 Year T.Bill cut off rate
	-Tazbin Abedin</t>
        </r>
      </text>
    </comment>
    <comment ref="F69" authorId="0" shapeId="0" xr:uid="{00000000-0006-0000-0900-000003000000}">
      <text>
        <r>
          <rPr>
            <sz val="11"/>
            <color theme="1"/>
            <rFont val="Calibri"/>
            <family val="2"/>
            <scheme val="minor"/>
          </rPr>
          <t>floor rate of 5.25%+ 10 year T. bond cut off yield
	-Tazbin Abedin</t>
        </r>
      </text>
    </comment>
  </commentList>
</comments>
</file>

<file path=xl/sharedStrings.xml><?xml version="1.0" encoding="utf-8"?>
<sst xmlns="http://schemas.openxmlformats.org/spreadsheetml/2006/main" count="1442" uniqueCount="524">
  <si>
    <t>SQUARE PHARMACUTICALS PLC.</t>
  </si>
  <si>
    <t>DSE: SQURPHARMA</t>
  </si>
  <si>
    <t>GR</t>
  </si>
  <si>
    <t>PREPARED BY: GROUP 04</t>
  </si>
  <si>
    <t>Implied DDM target value</t>
  </si>
  <si>
    <t>Implied P/E 12-month target value</t>
  </si>
  <si>
    <t>Implied DCF 12-month target value</t>
  </si>
  <si>
    <t>Implied target price band</t>
  </si>
  <si>
    <t>Income Statement</t>
  </si>
  <si>
    <t>Sept-20</t>
  </si>
  <si>
    <t>Dec-20</t>
  </si>
  <si>
    <t>Mar-21</t>
  </si>
  <si>
    <t>Jun-21</t>
  </si>
  <si>
    <t>Sept-21</t>
  </si>
  <si>
    <t>Dec-21</t>
  </si>
  <si>
    <t>Mar-22</t>
  </si>
  <si>
    <t>Jun-22</t>
  </si>
  <si>
    <t>Sept-22</t>
  </si>
  <si>
    <t>Dec-22</t>
  </si>
  <si>
    <t>Mar-23</t>
  </si>
  <si>
    <t>Jun-23</t>
  </si>
  <si>
    <t>Sept-23</t>
  </si>
  <si>
    <t>Dec-23</t>
  </si>
  <si>
    <t>Mar-24</t>
  </si>
  <si>
    <t>Jun-24</t>
  </si>
  <si>
    <t>Sept-24</t>
  </si>
  <si>
    <t>Dec-24</t>
  </si>
  <si>
    <t>Mar-25</t>
  </si>
  <si>
    <t>Jun-25</t>
  </si>
  <si>
    <t>Sept-25</t>
  </si>
  <si>
    <t>Dec-25</t>
  </si>
  <si>
    <t>Mar-26</t>
  </si>
  <si>
    <t>Jun-26</t>
  </si>
  <si>
    <t>Sept-26</t>
  </si>
  <si>
    <t>Dec-26</t>
  </si>
  <si>
    <t>Mar-27</t>
  </si>
  <si>
    <t>Jun-27</t>
  </si>
  <si>
    <t>Sept-27</t>
  </si>
  <si>
    <t>Dec-27</t>
  </si>
  <si>
    <t>Mar-28</t>
  </si>
  <si>
    <t>Jun-28</t>
  </si>
  <si>
    <t>(Taka in millions, except per share data)</t>
  </si>
  <si>
    <t>1Q21</t>
  </si>
  <si>
    <t>2Q21</t>
  </si>
  <si>
    <t>3Q21</t>
  </si>
  <si>
    <t>4Q21</t>
  </si>
  <si>
    <t>2021</t>
  </si>
  <si>
    <t>1Q22</t>
  </si>
  <si>
    <t>2Q22</t>
  </si>
  <si>
    <t>3Q22</t>
  </si>
  <si>
    <t>4Q22</t>
  </si>
  <si>
    <t>2022</t>
  </si>
  <si>
    <t>1Q23</t>
  </si>
  <si>
    <t>2Q23</t>
  </si>
  <si>
    <t>3Q23</t>
  </si>
  <si>
    <t>4Q23</t>
  </si>
  <si>
    <t>2023</t>
  </si>
  <si>
    <t>1Q24</t>
  </si>
  <si>
    <t>2Q24</t>
  </si>
  <si>
    <t>3Q24</t>
  </si>
  <si>
    <t>4Q24</t>
  </si>
  <si>
    <t>2024</t>
  </si>
  <si>
    <t>1Q25</t>
  </si>
  <si>
    <t>2Q25</t>
  </si>
  <si>
    <t>3Q25</t>
  </si>
  <si>
    <t>4Q25 E</t>
  </si>
  <si>
    <t>2025E</t>
  </si>
  <si>
    <t>1Q26E</t>
  </si>
  <si>
    <t>2Q26E</t>
  </si>
  <si>
    <t>3Q26E</t>
  </si>
  <si>
    <t>4Q26E</t>
  </si>
  <si>
    <t>2026E</t>
  </si>
  <si>
    <t>1Q27E</t>
  </si>
  <si>
    <t>2Q27E</t>
  </si>
  <si>
    <t>3Q27E</t>
  </si>
  <si>
    <t>4Q27E</t>
  </si>
  <si>
    <t>2027E</t>
  </si>
  <si>
    <t>1Q28E</t>
  </si>
  <si>
    <t>2Q28E</t>
  </si>
  <si>
    <t>3Q28E</t>
  </si>
  <si>
    <t>4Q28E</t>
  </si>
  <si>
    <t>2028E</t>
  </si>
  <si>
    <t>Gross Revenue</t>
  </si>
  <si>
    <t>Less: Value Added Tax</t>
  </si>
  <si>
    <t>-</t>
  </si>
  <si>
    <t>Net Revenue</t>
  </si>
  <si>
    <t>Cost of sales</t>
  </si>
  <si>
    <t>Gross Profit</t>
  </si>
  <si>
    <t>Selling and Distribution Expenses</t>
  </si>
  <si>
    <t>Administrative Expenses</t>
  </si>
  <si>
    <t>Finance Cost</t>
  </si>
  <si>
    <t>Total operating expenses</t>
  </si>
  <si>
    <t>Other Operating Income</t>
  </si>
  <si>
    <t>Profit from Operations</t>
  </si>
  <si>
    <t>Interest income</t>
  </si>
  <si>
    <t>Dividend income</t>
  </si>
  <si>
    <t>Interest expense</t>
  </si>
  <si>
    <t>Income from investment</t>
  </si>
  <si>
    <t>Other income/(expense)</t>
  </si>
  <si>
    <t>Total other income/(expense)</t>
  </si>
  <si>
    <t>Profit before WPPF &amp; WF</t>
  </si>
  <si>
    <t>Allocation for WPPF &amp; WF</t>
  </si>
  <si>
    <t>Profit before Tax</t>
  </si>
  <si>
    <t>Provisions for income tax</t>
  </si>
  <si>
    <t>Deferred Tax (Expense) / Income</t>
  </si>
  <si>
    <t>Profit after Tax</t>
  </si>
  <si>
    <t>Profit from Associate Undertakings</t>
  </si>
  <si>
    <t xml:space="preserve">Net income </t>
  </si>
  <si>
    <t>Basic shares outstanding</t>
  </si>
  <si>
    <t xml:space="preserve">Diluted shares outstanding </t>
  </si>
  <si>
    <t xml:space="preserve">Basic EPS </t>
  </si>
  <si>
    <t xml:space="preserve">Diluted EPS </t>
  </si>
  <si>
    <t>Dividends per share</t>
  </si>
  <si>
    <t>Dividend growth rate (YoY)</t>
  </si>
  <si>
    <t>Revenue growth rate (year over year)</t>
  </si>
  <si>
    <t>Revenue growth rate (quarter over quarter)</t>
  </si>
  <si>
    <t xml:space="preserve">Gross margin percentage </t>
  </si>
  <si>
    <t xml:space="preserve">Operating margin </t>
  </si>
  <si>
    <t>Net income to revenue</t>
  </si>
  <si>
    <t>Finance Cost to Net revenue</t>
  </si>
  <si>
    <t>Selling and Distribution Expenses to Net Revenue</t>
  </si>
  <si>
    <t>Administrative Expense to Net Revenue</t>
  </si>
  <si>
    <t>Value Added Tax to Gross Revenue</t>
  </si>
  <si>
    <t>Effect of Deferred Tax</t>
  </si>
  <si>
    <t>Interest income as a % of investments</t>
  </si>
  <si>
    <t>Dividend income as a % of investments</t>
  </si>
  <si>
    <t>Interest expense as a percentage of average debt</t>
  </si>
  <si>
    <t>Share Count Analysis</t>
  </si>
  <si>
    <t>Change in basic shares (excluding repurchases)</t>
  </si>
  <si>
    <t>Change in diluted shares (excluding repurchases)</t>
  </si>
  <si>
    <t>Share repurchase assumptions: average price</t>
  </si>
  <si>
    <t>Share repurchase: amount in the period ($M)</t>
  </si>
  <si>
    <t>Shares repurchased (in millions)</t>
  </si>
  <si>
    <t>Diluted share impact (convertible retirement)</t>
  </si>
  <si>
    <t>Balance Sheet</t>
  </si>
  <si>
    <t>2025</t>
  </si>
  <si>
    <t>1Q26</t>
  </si>
  <si>
    <t>Assets</t>
  </si>
  <si>
    <t>Cash and equivalents</t>
  </si>
  <si>
    <t>Investment in Marketable Securities</t>
  </si>
  <si>
    <t>Trade and Other Receivables</t>
  </si>
  <si>
    <t>Short Term Loan</t>
  </si>
  <si>
    <t>Inventories</t>
  </si>
  <si>
    <t>Deferred tax assets</t>
  </si>
  <si>
    <t>Vendor non-trade receivables</t>
  </si>
  <si>
    <t>Advances, Deposits and Prepayments</t>
  </si>
  <si>
    <t>Total Current Assets</t>
  </si>
  <si>
    <t>Long-term marketable securities</t>
  </si>
  <si>
    <t xml:space="preserve">Property, plant and equipment, net </t>
  </si>
  <si>
    <t>Investment in Associates</t>
  </si>
  <si>
    <t>Pre-Operating Expenses</t>
  </si>
  <si>
    <t>Acquired intangible assets, net</t>
  </si>
  <si>
    <t>Long Term Investment - Others</t>
  </si>
  <si>
    <t>Total Assets</t>
  </si>
  <si>
    <t>Liabilities</t>
  </si>
  <si>
    <t>Trade Payables</t>
  </si>
  <si>
    <t>Other Payables</t>
  </si>
  <si>
    <t>Dividends Payable</t>
  </si>
  <si>
    <t>Long Term Loan - Current Portion</t>
  </si>
  <si>
    <t>Unclaimed Dividend</t>
  </si>
  <si>
    <t>Current Tax Liabilities</t>
  </si>
  <si>
    <t>Accrued expenses</t>
  </si>
  <si>
    <t>Deferred revenue (current portion)</t>
  </si>
  <si>
    <t>Commercial paper/current portion of LT debt</t>
  </si>
  <si>
    <t>Total Current liabilities</t>
  </si>
  <si>
    <t>Deferred revenue (non-current)</t>
  </si>
  <si>
    <t>Long Term Loan</t>
  </si>
  <si>
    <t>Deferred Tax Liabilities</t>
  </si>
  <si>
    <t>Total Non current liabilities</t>
  </si>
  <si>
    <t>Total liabilities</t>
  </si>
  <si>
    <t>Commitments and contingencies</t>
  </si>
  <si>
    <t>Equity</t>
  </si>
  <si>
    <t>Common stock</t>
  </si>
  <si>
    <t>Share Premium</t>
  </si>
  <si>
    <t>General Reserve</t>
  </si>
  <si>
    <t>Fair Value Reserve</t>
  </si>
  <si>
    <t>Tax Holiday Reserve</t>
  </si>
  <si>
    <t>Translation Reserve</t>
  </si>
  <si>
    <t>Non Controlling Interests</t>
  </si>
  <si>
    <t xml:space="preserve">Retained earnings </t>
  </si>
  <si>
    <t>Gain on Marketable Securities (Unrealized)</t>
  </si>
  <si>
    <t>Accumulated other comprehensive income</t>
  </si>
  <si>
    <t>Total shareholders' equity</t>
  </si>
  <si>
    <t>Total liabilities and equity</t>
  </si>
  <si>
    <t>(Ratio &amp; Assumptions)</t>
  </si>
  <si>
    <t>Growth in total investments (QoQ)</t>
  </si>
  <si>
    <t>Short-term marketable securities as a % total investments</t>
  </si>
  <si>
    <t>Day Count (number of days in the quarter)</t>
  </si>
  <si>
    <t>Vendor non-trade receivables turnover</t>
  </si>
  <si>
    <t>Inventory turnover</t>
  </si>
  <si>
    <t>Days of inventory on hand</t>
  </si>
  <si>
    <t>Receivables turnover</t>
  </si>
  <si>
    <t>Days sales outstanding</t>
  </si>
  <si>
    <t>Payables turnover</t>
  </si>
  <si>
    <t>Number of days of payables</t>
  </si>
  <si>
    <t>Cash conversion cycle</t>
  </si>
  <si>
    <t>Total Deferred Revenue-to-Prior 4 Quarters of Revenue</t>
  </si>
  <si>
    <t>Current Deferred Revenue-to-Total Deferred Revenue</t>
  </si>
  <si>
    <t>Depreciation &amp; Amort Exp-to-Average PP&amp;E &amp; Intangibles</t>
  </si>
  <si>
    <t>Debt-to-Equity Ratio</t>
  </si>
  <si>
    <t>Growth in total debt (QoQ)</t>
  </si>
  <si>
    <t>Fair Value Reserve Growth</t>
  </si>
  <si>
    <t>Other Payables turnover</t>
  </si>
  <si>
    <t>Number of days of other payables</t>
  </si>
  <si>
    <t>Commercial Paper and ST Debt-to-Total Debt</t>
  </si>
  <si>
    <t>Cash Flow Statement</t>
  </si>
  <si>
    <t xml:space="preserve">  2021 </t>
  </si>
  <si>
    <t xml:space="preserve">  2022 </t>
  </si>
  <si>
    <t xml:space="preserve">  2023 </t>
  </si>
  <si>
    <t>Cash flows from operating activities</t>
  </si>
  <si>
    <t>Net Profit After Tax</t>
  </si>
  <si>
    <t>Amortization of Acquired Intangibles</t>
  </si>
  <si>
    <t>All other depreciation and Amortization</t>
  </si>
  <si>
    <t>Translation Gain</t>
  </si>
  <si>
    <t>Share-based compensation expense</t>
  </si>
  <si>
    <t>Deferred income taxes, net</t>
  </si>
  <si>
    <t>Exchange Gain</t>
  </si>
  <si>
    <t>Non-Operating Items:</t>
  </si>
  <si>
    <t>Interest Received</t>
  </si>
  <si>
    <t>Dividend Received</t>
  </si>
  <si>
    <t>Gain on Marketable Securities (Realized)</t>
  </si>
  <si>
    <t>Gain on Sale of Marketable Securities</t>
  </si>
  <si>
    <t>(Gain)/Loss on Disposal of Property, Plant and Equipment</t>
  </si>
  <si>
    <t>Gain on Redemption of Zero Coupon Bond</t>
  </si>
  <si>
    <t>Others</t>
  </si>
  <si>
    <t>Change in operating assets and liabilities</t>
  </si>
  <si>
    <t>Other Receivables</t>
  </si>
  <si>
    <t>Other current and non-current assets</t>
  </si>
  <si>
    <t>Accrued Expenses</t>
  </si>
  <si>
    <t>Deferred revenue</t>
  </si>
  <si>
    <t>Other current and non-current liabilities</t>
  </si>
  <si>
    <t>Net cash provided by operating activities</t>
  </si>
  <si>
    <t>Cash flows from investing activities</t>
  </si>
  <si>
    <t>Acquisition of PPE</t>
  </si>
  <si>
    <t>Pre-operating Expenses</t>
  </si>
  <si>
    <t>Investment in marketable securities</t>
  </si>
  <si>
    <t>Investment made by Sponsors Shareholders of Square Lifesciences Ltd.</t>
  </si>
  <si>
    <t>Investment in subsidiaries</t>
  </si>
  <si>
    <t>Proceeds from sale of marketabke securities</t>
  </si>
  <si>
    <t>Proceeds from sale of PPE</t>
  </si>
  <si>
    <t>Share Capital of Non Controlling Interest</t>
  </si>
  <si>
    <t>Net cash provided by investing activities</t>
  </si>
  <si>
    <t>Cash flows from financing activities</t>
  </si>
  <si>
    <t>Dividend payment</t>
  </si>
  <si>
    <t>Term loan received</t>
  </si>
  <si>
    <t>Issue of Share Capital (Non Controlling Interest)</t>
  </si>
  <si>
    <t>Payment of unclaimed dividend</t>
  </si>
  <si>
    <t>Other financing activities</t>
  </si>
  <si>
    <t>Unclaimed Dividend transferred to CMS Fund</t>
  </si>
  <si>
    <t>Proceeds from/Payment of Term Loan and Bank Overdraft</t>
  </si>
  <si>
    <t>Net cash used in financing activities</t>
  </si>
  <si>
    <t>Net increase (decrease) in cash and equivalents</t>
  </si>
  <si>
    <t>Net effect of Forex fluctuation</t>
  </si>
  <si>
    <t>Cash and equivalents at beginning of period</t>
  </si>
  <si>
    <t>Cash and equivalents at end of period</t>
  </si>
  <si>
    <t>Free Cash Flow to Firm (FCFF)*</t>
  </si>
  <si>
    <t>DCF Period (approximate number of years)</t>
  </si>
  <si>
    <t>Discounted FCFF</t>
  </si>
  <si>
    <t xml:space="preserve">Net Cash and investments per share </t>
  </si>
  <si>
    <t>Cash and investments held by foreign subsidiaries</t>
  </si>
  <si>
    <t>% of total cash and investments held by foreign subs</t>
  </si>
  <si>
    <t>Def Tax Liability (DTL) for unremitted earnings of foreign subs</t>
  </si>
  <si>
    <t>DTL to foreign cash and investment balance</t>
  </si>
  <si>
    <t>Net cash and investments per share  (pre-DTL)</t>
  </si>
  <si>
    <t xml:space="preserve">Estimate of tax adjustment on net cash and investments per share </t>
  </si>
  <si>
    <t>Cash Flow Ratios &amp; Assumptions</t>
  </si>
  <si>
    <t>Ratios</t>
  </si>
  <si>
    <t>Share-based compensation to Sales</t>
  </si>
  <si>
    <t>Excess tax benefits from equity awards as a percentage of stock-based comp</t>
  </si>
  <si>
    <t>Taxes paid related to equity awards  as a percentage of stock-based comp</t>
  </si>
  <si>
    <t>Net Cash from Operations growth rate (YoY)</t>
  </si>
  <si>
    <t>Capex-to-Sales</t>
  </si>
  <si>
    <t>Capex growth rate (QoQ)</t>
  </si>
  <si>
    <t>Exchange Rate Fluctuation as % Of Beginning Cash</t>
  </si>
  <si>
    <t>Historical data</t>
  </si>
  <si>
    <t>Depreciation</t>
  </si>
  <si>
    <t>Multiple Valuation</t>
  </si>
  <si>
    <t>P/E 12-month average (a)</t>
  </si>
  <si>
    <t>P/E 12-month high</t>
  </si>
  <si>
    <t>P/E 12-month low</t>
  </si>
  <si>
    <t>P/E used for valuation</t>
  </si>
  <si>
    <t>Net cash &amp; investments per share</t>
  </si>
  <si>
    <t>Repatriation tax estimate per share</t>
  </si>
  <si>
    <t>Adjusted cash per share</t>
  </si>
  <si>
    <t>NOTE: There are many different multiples which could be applied to various earnings metrics, each of which result in different valuations. This calculation is for demonstration only. Please refer to the Terms of Use link for important details. The DCF and Multiple valuation metrics are kept constant at certain points during each quarter to isolate the impact from changes in earnings estimates. The multiple in this section was last updated on 5/30/2017.</t>
  </si>
  <si>
    <t>(a) Multiples are calculated excluding the value of net cash and are based on the 12-month average daily share price compared to the consensus EPS estimates for the next twelve month period. For Square Pharmaceuticals Ltd, we adjust the net cash per share to approximate the tax implications of repatriating cash balances that are held in foreign countries.</t>
  </si>
  <si>
    <t>Discounted Cash Flow Valuation</t>
  </si>
  <si>
    <t>WACC Inputs</t>
  </si>
  <si>
    <t>Current share price</t>
  </si>
  <si>
    <t>Shares outstanding</t>
  </si>
  <si>
    <t>Market Capitalization (M)</t>
  </si>
  <si>
    <t>Beta (relative to the DSEX)</t>
  </si>
  <si>
    <t>Constant market Sharpe ratio(b)</t>
  </si>
  <si>
    <t>volatility(c)</t>
  </si>
  <si>
    <t>Equity market risk premium</t>
  </si>
  <si>
    <t>Risk Free (10 Years Treasury Bond)</t>
  </si>
  <si>
    <t>Required return on equity (CAPM)</t>
  </si>
  <si>
    <t>Equity to total capital</t>
  </si>
  <si>
    <t>Average cost of debt</t>
  </si>
  <si>
    <t>Effective tax rate</t>
  </si>
  <si>
    <t>After tax cost of debt</t>
  </si>
  <si>
    <t>S1 Weighted Average Cost of Capital</t>
  </si>
  <si>
    <t>Constant Growth Stage Assumptions(d,e)</t>
  </si>
  <si>
    <t>Revenue growth (in perpetuity)</t>
  </si>
  <si>
    <t>Constant CFO growth rate</t>
  </si>
  <si>
    <t>Ave CapEx (% of sales)</t>
  </si>
  <si>
    <t>Stage 2 Long-Term WACC (f)</t>
  </si>
  <si>
    <t>DCF Valuation</t>
  </si>
  <si>
    <t>PV of terminal value</t>
  </si>
  <si>
    <t>NPV of stage-one cash flows</t>
  </si>
  <si>
    <t>Plus cash/(debt) per share</t>
  </si>
  <si>
    <t>NOTE: There are many different methods to calculate a DCF-based valuation, each of which result in different final valuation estimates. This calculation is for demonstration only. Different inputs and assumptions can result in significantly different valuation estimates. Refer to the Terms of Use link for important information regarding this demonstration. The DCF and Multiple valuation metrics are kept constant at certain points during each quarter to isolate the impact from changes in earnings estimates.  The Beta, Volatility, and Risk-Free rate used in this DCF section was last updated on 5/30/2017 .</t>
  </si>
  <si>
    <t>(b) This model uses the Constant Sharpe approach to estimate the Equity Risk Premium. The DSEX Constant Sharpe is calculated by taking the excess return on the index over the risk-free rate, divided by the standard deviation of returns. The Constant Sharpe ratio is multiplied by the estimate of implied volatility.</t>
  </si>
  <si>
    <t>(c) The VIX is quoted in percentage points and measures the implied annualized volatility for the DSEX. The VIX is a forward looking measure of implied volatility, however, single day volatility would have too much of an impact on the overall discount rate, for this reason the twelve month trailing average is used.</t>
  </si>
  <si>
    <t>(d) Assumes constant networking capital in the constant growth stage.
 (e) Assumes debt balance and interest expense remains constant in the constant growth stage, and that book value of debt approximates fair value.</t>
  </si>
  <si>
    <t>(f) Stage two long-term WACC assumes the weight and cost of debt remains constant, and cost of equity reaches long-term average based on an ERP of 13.13% and a required return on equity of 13.16% based on a VIX of 47.2261%, Beta of 0.60999, Risk-Free Rate of 10.46%, and Constant Sharpe of 0.09387.</t>
  </si>
  <si>
    <t>Risk Estimation Summary (g)</t>
  </si>
  <si>
    <t>Mean monthly return</t>
  </si>
  <si>
    <t>Standard deviation</t>
  </si>
  <si>
    <t>Implied target value</t>
  </si>
  <si>
    <t>Implied upper bound</t>
  </si>
  <si>
    <t>Implied Lower bound</t>
  </si>
  <si>
    <t>(g) There are many approaches to estimating a stock's risk. In this demonstration we use the standard deviation and the monthly average return over the last 12 months to construct an estimated price target range. Standard deviation is a measure of dispersion around the mean monthly return. The larger the historic standard deviation the greater the volatility in prices. Using a normal distribution, approximately 95% of observations fall within 2 standard deviations of the mean. This approach has multiple limitations including: 1) it assumes that historic results can predict future return characteristics, and 2) it assumes the stock's returns are normally distributed. This analysis is for demonstration only, refer to full Terms of Use at GutenbergResearch.com. The mean &amp; standard deviation in this section were last updated on 19/06/2024.</t>
  </si>
  <si>
    <t>Date</t>
  </si>
  <si>
    <t>Price (Million)</t>
  </si>
  <si>
    <t>Market Return</t>
  </si>
  <si>
    <t>Stock Price</t>
  </si>
  <si>
    <t xml:space="preserve">Return of Square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</si>
  <si>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</si>
  <si>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</si>
  <si>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</si>
  <si>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</si>
  <si>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</si>
  <si>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</si>
  <si>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</si>
  <si>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</si>
  <si>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</si>
  <si>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</si>
  <si>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</si>
  <si>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</si>
  <si>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</si>
  <si>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</si>
  <si>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</si>
  <si>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</si>
  <si>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</si>
  <si>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</si>
  <si>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</si>
  <si>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</si>
  <si>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</si>
  <si>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</si>
  <si>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</si>
  <si>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</si>
  <si>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Ex.R</t>
  </si>
  <si>
    <t>Vol</t>
  </si>
  <si>
    <t>Sharpe Ratio</t>
  </si>
  <si>
    <t>Avg.</t>
  </si>
  <si>
    <t>Volatility</t>
  </si>
  <si>
    <t>Std. of Ex.R</t>
  </si>
  <si>
    <t>Terminal Growth</t>
  </si>
  <si>
    <t>WACC</t>
  </si>
  <si>
    <t>DDM Valuation</t>
  </si>
  <si>
    <t>Projected Year 1</t>
  </si>
  <si>
    <t>Projected Year 2</t>
  </si>
  <si>
    <t>Projected Year 3</t>
  </si>
  <si>
    <t>Projected Year 4</t>
  </si>
  <si>
    <t xml:space="preserve">June </t>
  </si>
  <si>
    <t>June</t>
  </si>
  <si>
    <t>No. of shares outstanding</t>
  </si>
  <si>
    <t>Dividend</t>
  </si>
  <si>
    <t>Projected Years</t>
  </si>
  <si>
    <t>PV of DIvidend</t>
  </si>
  <si>
    <t>Total PV of Dividend</t>
  </si>
  <si>
    <t>Continuing Value</t>
  </si>
  <si>
    <t>PV of Terminal Value</t>
  </si>
  <si>
    <t>Equity Value</t>
  </si>
  <si>
    <t>Number of Shares Outstanding</t>
  </si>
  <si>
    <t>Equity Value per share (Fair Value)</t>
  </si>
  <si>
    <t>Last 12 Month P/E Ratio</t>
  </si>
  <si>
    <t>Price</t>
  </si>
  <si>
    <t>EPS</t>
  </si>
  <si>
    <t>P/E</t>
  </si>
  <si>
    <t>Average P/E</t>
  </si>
  <si>
    <t>Maximum P/E</t>
  </si>
  <si>
    <t>Minimum P/E</t>
  </si>
  <si>
    <t>Relative Valuation:</t>
  </si>
  <si>
    <t>Particular</t>
  </si>
  <si>
    <t>Multiple</t>
  </si>
  <si>
    <t>Valuation</t>
  </si>
  <si>
    <t>Average Historical P/E</t>
  </si>
  <si>
    <t>Pharma Sector P/E</t>
  </si>
  <si>
    <t>Average Price Per Share</t>
  </si>
  <si>
    <t>Historical</t>
  </si>
  <si>
    <t>Forecasted Data</t>
  </si>
  <si>
    <t>Growth Rate Calculation</t>
  </si>
  <si>
    <t>Year</t>
  </si>
  <si>
    <t>FCFF</t>
  </si>
  <si>
    <t>GDP Growth Rate</t>
  </si>
  <si>
    <t>Terminal Growth Rate (5-year average)</t>
  </si>
  <si>
    <t>Growth Rate</t>
  </si>
  <si>
    <t>Terminal Value Calculation (Perpetuity Method)</t>
  </si>
  <si>
    <t>Sensitivity Analysis- Terminal Value</t>
  </si>
  <si>
    <t>PV of Forcasted FCFF</t>
  </si>
  <si>
    <t>Terminal Growth Rate</t>
  </si>
  <si>
    <t>Discount Rates</t>
  </si>
  <si>
    <t>Terminal Value</t>
  </si>
  <si>
    <t>Enterprise Value Calculations</t>
  </si>
  <si>
    <t>Total Enterprise Value</t>
  </si>
  <si>
    <t>Sensitivity Analysis-PV of Terminal Value</t>
  </si>
  <si>
    <t>Cash and Cash Equivalent</t>
  </si>
  <si>
    <t>Interest Debt</t>
  </si>
  <si>
    <t>Value Per Share</t>
  </si>
  <si>
    <t>Sensitivity Analysis- Enterprise Value</t>
  </si>
  <si>
    <t>Sensitivity Analysis- Value per Share</t>
  </si>
  <si>
    <t>Peer Comparison</t>
  </si>
  <si>
    <t>Company Name</t>
  </si>
  <si>
    <t>Particulars</t>
  </si>
  <si>
    <t>P/NAV</t>
  </si>
  <si>
    <t>P/BV</t>
  </si>
  <si>
    <t>SQURPHARMA</t>
  </si>
  <si>
    <t>Beximco Pharmaceuticals PLC</t>
  </si>
  <si>
    <t>BXPHARMA</t>
  </si>
  <si>
    <t>Advanced Chemical Industries PLC</t>
  </si>
  <si>
    <t>ACI</t>
  </si>
  <si>
    <t>Reckitt Benckiser (Bangladesh) PLC</t>
  </si>
  <si>
    <t>RECKITTBEN</t>
  </si>
  <si>
    <t>The ACME Laboratories Limited</t>
  </si>
  <si>
    <t>ACMELAB</t>
  </si>
  <si>
    <t>Renata PLC</t>
  </si>
  <si>
    <t>RENATA</t>
  </si>
  <si>
    <t>Sector Avg. PE</t>
  </si>
  <si>
    <t>NAV</t>
  </si>
  <si>
    <t>Z-score = 1.2 (Net working capital/Total assets) + 1.4 (Retained earnings/Total assets) + 3.3 (EBIT/Total assets) + 0.6 (Market value of equity/Book value of liabilities) + 1.0 (Sales/Total assets)</t>
  </si>
  <si>
    <t>Net Working Capital to Total Assets</t>
  </si>
  <si>
    <t>Retained Earnings to Total Assets</t>
  </si>
  <si>
    <t>EBIT to Total Assets</t>
  </si>
  <si>
    <t>Market Value of Equity to Total Liabilities</t>
  </si>
  <si>
    <t>Sales to Total Assets</t>
  </si>
  <si>
    <t>Z Score</t>
  </si>
  <si>
    <t>Scores greater than 3.00 indicates a low probability of bankruptcy</t>
  </si>
  <si>
    <t>SQUARE Pharma has a low probability of bankruptcy</t>
  </si>
  <si>
    <t>Derived Variables</t>
  </si>
  <si>
    <t>Value of variables</t>
  </si>
  <si>
    <t>Days Sales in Receivables Index (DSRI)</t>
  </si>
  <si>
    <t>Gross Margin Index (GMI)</t>
  </si>
  <si>
    <t>Asset Quality Index (AQI)</t>
  </si>
  <si>
    <t>Sales Growth Index (SGI)</t>
  </si>
  <si>
    <t>Depreciation Index (DEPI)</t>
  </si>
  <si>
    <t>Sales, General, and Administrative Expenses Index (SGAI)</t>
  </si>
  <si>
    <t>Leverage Index (LVGI)</t>
  </si>
  <si>
    <t>Total Accruals to Total Assets (TATA)</t>
  </si>
  <si>
    <t>M-Score</t>
  </si>
  <si>
    <t>Probability</t>
  </si>
  <si>
    <t>5 variable equation</t>
  </si>
  <si>
    <t>8 variable equation</t>
  </si>
  <si>
    <t>Notes</t>
  </si>
  <si>
    <t>M= -6.065 +.823 DSRI +.906 GMI +.593 AQI +.717 SGI +.107 DEPI</t>
  </si>
  <si>
    <t>M= -4.84 + .920 DSRI +.528 GMI + .404 AQI+ .892 SGI + .115 DEPI - .172 SGAI + 4.679 Accrual - .327 Leverage</t>
  </si>
  <si>
    <t>Parameters</t>
  </si>
  <si>
    <t>Net Sales</t>
  </si>
  <si>
    <t>Cost of goods</t>
  </si>
  <si>
    <t>Net Receivables</t>
  </si>
  <si>
    <t>Current assets (CA)</t>
  </si>
  <si>
    <t>Property, Plant and Equipment (PPE)</t>
  </si>
  <si>
    <t>Total Assets (TA)</t>
  </si>
  <si>
    <t>SGA Expense</t>
  </si>
  <si>
    <t>Net Income</t>
  </si>
  <si>
    <t>Cash Flow From Operations</t>
  </si>
  <si>
    <t>Current Liabilites</t>
  </si>
  <si>
    <t>Long-term Debt</t>
  </si>
  <si>
    <t>Depreciation Rate</t>
  </si>
  <si>
    <r>
      <rPr>
        <b/>
        <sz val="11"/>
        <color rgb="FFFFFFFF"/>
        <rFont val="Calibri"/>
        <family val="2"/>
      </rPr>
      <t>GDP &amp; CAGR</t>
    </r>
    <r>
      <rPr>
        <sz val="11"/>
        <color theme="1"/>
        <rFont val="Calibri"/>
        <family val="2"/>
      </rPr>
      <t xml:space="preserve"> </t>
    </r>
  </si>
  <si>
    <t>Translation reserve</t>
  </si>
  <si>
    <t>SALES GROWTH RATE</t>
  </si>
  <si>
    <t>GDP</t>
  </si>
  <si>
    <t>Q1</t>
  </si>
  <si>
    <t>Q2</t>
  </si>
  <si>
    <t>Q3</t>
  </si>
  <si>
    <t>Q4</t>
  </si>
  <si>
    <t>Average GDP Growth</t>
  </si>
  <si>
    <t>Profit for the Year Attributable to Non-Controlling Interest</t>
  </si>
  <si>
    <t>2024-2025</t>
  </si>
  <si>
    <t>DSO</t>
  </si>
  <si>
    <t>Ending receivables/ Net revenue * 365</t>
  </si>
  <si>
    <t xml:space="preserve">Average industry CAGR </t>
  </si>
  <si>
    <t>Average  CAGR of Square Pharma</t>
  </si>
  <si>
    <t>Growth</t>
  </si>
  <si>
    <t>Accounts Receivable (A/R)</t>
  </si>
  <si>
    <t xml:space="preserve">Adjusted Average industry CAGR </t>
  </si>
  <si>
    <t>Average Growth</t>
  </si>
  <si>
    <t xml:space="preserve"> DSO × Net Revenue ÷ 365.</t>
  </si>
  <si>
    <t xml:space="preserve"> DSO × Net Revenue ÷ Days in Quarter (≈ 90)</t>
  </si>
  <si>
    <t>average</t>
  </si>
  <si>
    <t>Average</t>
  </si>
  <si>
    <t>Seasonality Index of Sales</t>
  </si>
  <si>
    <t>Inventory</t>
  </si>
  <si>
    <t>DIO</t>
  </si>
  <si>
    <t>inventory / Cost of good sold * 365</t>
  </si>
  <si>
    <t xml:space="preserve"> DIO × COGS ÷ 365.</t>
  </si>
  <si>
    <t>DIO × COGS ÷ Days in Quarter.</t>
  </si>
  <si>
    <t xml:space="preserve">Cash </t>
  </si>
  <si>
    <t xml:space="preserve">CF er last amount </t>
  </si>
  <si>
    <t>Avg rec</t>
  </si>
  <si>
    <t>Gross margin</t>
  </si>
  <si>
    <t>Recceivables Turnover</t>
  </si>
  <si>
    <t>Est</t>
  </si>
  <si>
    <t>Avg</t>
  </si>
  <si>
    <t>2 avg</t>
  </si>
  <si>
    <t>3 avg</t>
  </si>
  <si>
    <t>Account Receivables</t>
  </si>
  <si>
    <t>Averge</t>
  </si>
  <si>
    <t>Proportion</t>
  </si>
  <si>
    <t>Interest rate</t>
  </si>
  <si>
    <t>Trade Payable</t>
  </si>
  <si>
    <t>Q4, 2023-24</t>
  </si>
  <si>
    <t>Q1, 2024</t>
  </si>
  <si>
    <t>Q2, 2024</t>
  </si>
  <si>
    <t>Q3, 2025</t>
  </si>
  <si>
    <t>COGS</t>
  </si>
  <si>
    <t>Payables</t>
  </si>
  <si>
    <t>Ratio</t>
  </si>
  <si>
    <t>Current tax liability</t>
  </si>
  <si>
    <t>Implied  target value</t>
  </si>
  <si>
    <t xml:space="preserve">Required return on equity </t>
  </si>
  <si>
    <t>BDT 248.43 to BDT 279.79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</si>
</sst>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 #,##0.0_);_(* \(#,##0.0\);_(* &quot;-&quot;??_);_(@_)"/>
    <numFmt numFmtId="165" formatCode="_(* #,##0_);_(* \(#,##0\);_(* &quot;-&quot;??_);_(@_)"/>
    <numFmt numFmtId="166" formatCode="_(* #,##0.000_);_(* \(#,##0.000\);_(* &quot;-&quot;??_);_(@_)"/>
    <numFmt numFmtId="167" formatCode="_(* #,##0.0000_);_(* \(#,##0.0000\);_(* &quot;-&quot;??_);_(@_)"/>
    <numFmt numFmtId="168" formatCode="0.0000"/>
    <numFmt numFmtId="169" formatCode="_(* #,##0.0000_);_(* \(#,##0.0000\);_(* &quot;-&quot;??.00_);_(@_)"/>
    <numFmt numFmtId="170" formatCode="_(* #,##0.0000_);_(* \(#,##0.0000\);_(* &quot;-&quot;??.0000_);_(@_)"/>
    <numFmt numFmtId="171" formatCode="_(* #,##0.0_);_(* \(#,##0.0\);_(* &quot;-&quot;??.0_);_(@_)"/>
    <numFmt numFmtId="172" formatCode="_(* #,##0.00_);_(* \(#,##0.00\);_(* &quot;-&quot;??.0_);_(@_)"/>
    <numFmt numFmtId="173" formatCode="_(* #,##0.000_);_(* \(#,##0.000\);_(* &quot;-&quot;??.000_);_(@_)"/>
    <numFmt numFmtId="174" formatCode="#,##0.00;\(#,##0.00\)"/>
    <numFmt numFmtId="175" formatCode="0.0%"/>
    <numFmt numFmtId="176" formatCode="0.000%"/>
    <numFmt numFmtId="177" formatCode="#,##0.0000"/>
    <numFmt numFmtId="178" formatCode="0.000000"/>
    <numFmt numFmtId="179" formatCode="0.0000000"/>
    <numFmt numFmtId="180" formatCode="0.00000"/>
    <numFmt numFmtId="181" formatCode="0.0000000000000"/>
    <numFmt numFmtId="182" formatCode="0&quot;E&quot;"/>
    <numFmt numFmtId="183" formatCode="0.0000000%"/>
    <numFmt numFmtId="184" formatCode="#,##0.000"/>
    <numFmt numFmtId="185" formatCode="0.000"/>
  </numFmts>
  <fonts count="89">
    <font>
      <sz val="11"/>
      <color theme="1"/>
      <name val="Calibri"/>
      <scheme val="minor"/>
    </font>
    <font>
      <sz val="11"/>
      <color theme="1"/>
      <name val="Calibri"/>
      <family val="2"/>
    </font>
    <font>
      <sz val="11"/>
      <color theme="1"/>
      <name val="Times New Roman"/>
      <family val="1"/>
    </font>
    <font>
      <sz val="11"/>
      <color theme="0"/>
      <name val="Times New Roman"/>
      <family val="1"/>
    </font>
    <font>
      <sz val="11"/>
      <name val="Calibri"/>
      <family val="2"/>
    </font>
    <font>
      <sz val="11"/>
      <color theme="0"/>
      <name val="Calibri"/>
      <family val="2"/>
    </font>
    <font>
      <b/>
      <sz val="11"/>
      <color rgb="FFFFFFFF"/>
      <name val="Times New Roman"/>
      <family val="1"/>
    </font>
    <font>
      <sz val="11"/>
      <color rgb="FFFF0000"/>
      <name val="Times New Roman"/>
      <family val="1"/>
    </font>
    <font>
      <b/>
      <sz val="11"/>
      <color theme="1"/>
      <name val="Calibri"/>
      <family val="2"/>
    </font>
    <font>
      <b/>
      <sz val="11"/>
      <color theme="0"/>
      <name val="Times New Roman"/>
      <family val="1"/>
    </font>
    <font>
      <b/>
      <sz val="11"/>
      <color rgb="FF000000"/>
      <name val="Calibri"/>
      <family val="2"/>
    </font>
    <font>
      <b/>
      <u/>
      <sz val="11"/>
      <color theme="0"/>
      <name val="Times New Roman"/>
      <family val="1"/>
    </font>
    <font>
      <b/>
      <sz val="11"/>
      <color theme="0"/>
      <name val="Calibri"/>
      <family val="2"/>
    </font>
    <font>
      <sz val="10"/>
      <color theme="1"/>
      <name val="Calibri"/>
      <family val="2"/>
    </font>
    <font>
      <sz val="11"/>
      <color theme="1"/>
      <name val="Calibri"/>
      <family val="2"/>
    </font>
    <font>
      <sz val="11"/>
      <color rgb="FF000000"/>
      <name val="Calibri"/>
      <family val="2"/>
    </font>
    <font>
      <sz val="11"/>
      <color rgb="FF000000"/>
      <name val="Times New Roman"/>
      <family val="1"/>
    </font>
    <font>
      <b/>
      <sz val="11"/>
      <color theme="1"/>
      <name val="Times New Roman"/>
      <family val="1"/>
    </font>
    <font>
      <b/>
      <sz val="11"/>
      <color rgb="FF000000"/>
      <name val="Times New Roman"/>
      <family val="1"/>
    </font>
    <font>
      <sz val="11"/>
      <color theme="1"/>
      <name val="Calibri"/>
      <family val="2"/>
    </font>
    <font>
      <sz val="11"/>
      <color theme="1"/>
      <name val="Calibri"/>
      <family val="2"/>
      <scheme val="minor"/>
    </font>
    <font>
      <b/>
      <sz val="11"/>
      <color rgb="FF974806"/>
      <name val="Times New Roman"/>
      <family val="1"/>
    </font>
    <font>
      <b/>
      <u/>
      <sz val="11"/>
      <color rgb="FF000000"/>
      <name val="Times New Roman"/>
      <family val="1"/>
    </font>
    <font>
      <b/>
      <u/>
      <sz val="11"/>
      <color theme="1"/>
      <name val="Times New Roman"/>
      <family val="1"/>
    </font>
    <font>
      <sz val="11"/>
      <color rgb="FF7030A0"/>
      <name val="Times New Roman"/>
      <family val="1"/>
    </font>
    <font>
      <sz val="11"/>
      <color rgb="FF974806"/>
      <name val="Times New Roman"/>
      <family val="1"/>
    </font>
    <font>
      <sz val="11"/>
      <color rgb="FF1F497D"/>
      <name val="Times New Roman"/>
      <family val="1"/>
    </font>
    <font>
      <b/>
      <sz val="11"/>
      <color theme="1"/>
      <name val="Calibri"/>
      <family val="2"/>
      <scheme val="minor"/>
    </font>
    <font>
      <b/>
      <sz val="11"/>
      <color rgb="FFFF0000"/>
      <name val="Times New Roman"/>
      <family val="1"/>
    </font>
    <font>
      <b/>
      <u/>
      <sz val="11"/>
      <color rgb="FF000000"/>
      <name val="Times New Roman"/>
      <family val="1"/>
    </font>
    <font>
      <b/>
      <u/>
      <sz val="11"/>
      <color rgb="FFFFFFFF"/>
      <name val="Times New Roman"/>
      <family val="1"/>
    </font>
    <font>
      <sz val="11"/>
      <color rgb="FFFFFFFF"/>
      <name val="Times New Roman"/>
      <family val="1"/>
    </font>
    <font>
      <b/>
      <u/>
      <sz val="11"/>
      <color rgb="FFFFFFFF"/>
      <name val="Times New Roman"/>
      <family val="1"/>
    </font>
    <font>
      <b/>
      <u/>
      <sz val="11"/>
      <color rgb="FFFFFFFF"/>
      <name val="Times New Roman"/>
      <family val="1"/>
    </font>
    <font>
      <b/>
      <u/>
      <sz val="11"/>
      <color rgb="FFFFFFFF"/>
      <name val="Times New Roman"/>
      <family val="1"/>
    </font>
    <font>
      <b/>
      <u/>
      <sz val="11"/>
      <color rgb="FFFFFFFF"/>
      <name val="Times New Roman"/>
      <family val="1"/>
    </font>
    <font>
      <b/>
      <u/>
      <sz val="11"/>
      <color rgb="FFFFFFFF"/>
      <name val="Times New Roman"/>
      <family val="1"/>
    </font>
    <font>
      <b/>
      <u/>
      <sz val="11"/>
      <color rgb="FF000000"/>
      <name val="&quot;Times New Roman&quot;"/>
    </font>
    <font>
      <sz val="11"/>
      <color theme="1"/>
      <name val="&quot;Times New Roman&quot;"/>
    </font>
    <font>
      <sz val="11"/>
      <color rgb="FF000000"/>
      <name val="&quot;Times New Roman&quot;"/>
    </font>
    <font>
      <b/>
      <sz val="11"/>
      <color rgb="FF000000"/>
      <name val="&quot;Times New Roman&quot;"/>
    </font>
    <font>
      <b/>
      <sz val="11"/>
      <color theme="1"/>
      <name val="&quot;Times New Roman&quot;"/>
    </font>
    <font>
      <sz val="11"/>
      <color rgb="FF1F1F1F"/>
      <name val="&quot;Times New Roman&quot;"/>
    </font>
    <font>
      <sz val="11"/>
      <color rgb="FFFF0000"/>
      <name val="&quot;Times New Roman&quot;"/>
    </font>
    <font>
      <b/>
      <u/>
      <sz val="11"/>
      <color rgb="FF000000"/>
      <name val="Calibri"/>
      <family val="2"/>
    </font>
    <font>
      <b/>
      <u/>
      <sz val="11"/>
      <color rgb="FF000000"/>
      <name val="Calibri"/>
      <family val="2"/>
    </font>
    <font>
      <b/>
      <u/>
      <sz val="11"/>
      <color theme="0"/>
      <name val="Times New Roman"/>
      <family val="1"/>
    </font>
    <font>
      <b/>
      <u/>
      <sz val="11"/>
      <color theme="0"/>
      <name val="Times New Roman"/>
      <family val="1"/>
    </font>
    <font>
      <b/>
      <u/>
      <sz val="11"/>
      <color theme="0"/>
      <name val="Times New Roman"/>
      <family val="1"/>
    </font>
    <font>
      <b/>
      <u/>
      <sz val="11"/>
      <color rgb="FFFFFFFF"/>
      <name val="&quot;Times New Roman&quot;"/>
    </font>
    <font>
      <u/>
      <sz val="11"/>
      <color rgb="FF000000"/>
      <name val="&quot;Times New Roman&quot;"/>
    </font>
    <font>
      <b/>
      <sz val="11"/>
      <color rgb="FFFFFFFF"/>
      <name val="&quot;Times New Roman&quot;"/>
    </font>
    <font>
      <sz val="11"/>
      <color rgb="FF000000"/>
      <name val="Calibri"/>
      <family val="2"/>
    </font>
    <font>
      <u/>
      <sz val="11"/>
      <color rgb="FF000000"/>
      <name val="&quot;Times New Roman&quot;"/>
    </font>
    <font>
      <b/>
      <sz val="12"/>
      <color theme="0"/>
      <name val="Calibri"/>
      <family val="2"/>
    </font>
    <font>
      <i/>
      <sz val="11"/>
      <color theme="1"/>
      <name val="Calibri"/>
      <family val="2"/>
    </font>
    <font>
      <b/>
      <sz val="12"/>
      <color rgb="FFFFFFFF"/>
      <name val="Calibri"/>
      <family val="2"/>
      <scheme val="minor"/>
    </font>
    <font>
      <sz val="12"/>
      <color theme="1"/>
      <name val="Calibri"/>
      <family val="2"/>
      <scheme val="minor"/>
    </font>
    <font>
      <sz val="11"/>
      <color rgb="FFFFFFFF"/>
      <name val="&quot;Times New Roman&quot;"/>
    </font>
    <font>
      <b/>
      <sz val="12"/>
      <color theme="1"/>
      <name val="Calibri"/>
      <family val="2"/>
      <scheme val="minor"/>
    </font>
    <font>
      <b/>
      <sz val="11"/>
      <color theme="0"/>
      <name val="Calibri"/>
      <family val="2"/>
      <scheme val="minor"/>
    </font>
    <font>
      <sz val="12"/>
      <color theme="0"/>
      <name val="Calibri"/>
      <family val="2"/>
      <scheme val="minor"/>
    </font>
    <font>
      <b/>
      <sz val="11"/>
      <color rgb="FFFFFFFF"/>
      <name val="Calibri"/>
      <family val="2"/>
      <scheme val="minor"/>
    </font>
    <font>
      <b/>
      <sz val="10"/>
      <color theme="1"/>
      <name val="&quot;Times New Roman&quot;"/>
    </font>
    <font>
      <sz val="9"/>
      <color rgb="FF000000"/>
      <name val="Arial"/>
      <family val="2"/>
    </font>
    <font>
      <b/>
      <sz val="20"/>
      <color theme="1"/>
      <name val="Calibri"/>
      <family val="2"/>
      <scheme val="minor"/>
    </font>
    <font>
      <sz val="15"/>
      <color rgb="FF000000"/>
      <name val="Calibri"/>
      <family val="2"/>
    </font>
    <font>
      <sz val="15"/>
      <color theme="1"/>
      <name val="Calibri"/>
      <family val="2"/>
      <scheme val="minor"/>
    </font>
    <font>
      <b/>
      <sz val="15"/>
      <color theme="1"/>
      <name val="Calibri"/>
      <family val="2"/>
      <scheme val="minor"/>
    </font>
    <font>
      <b/>
      <sz val="15"/>
      <color rgb="FFFFFFFF"/>
      <name val="Calibri"/>
      <family val="2"/>
      <scheme val="minor"/>
    </font>
    <font>
      <b/>
      <sz val="11"/>
      <color theme="0"/>
      <name val="&quot;Times New Roman&quot;"/>
    </font>
    <font>
      <sz val="11"/>
      <color rgb="FF0A0A0A"/>
      <name val="Calibri"/>
      <family val="2"/>
    </font>
    <font>
      <b/>
      <sz val="11"/>
      <color rgb="FFFFFFFF"/>
      <name val="Calibri"/>
      <family val="2"/>
    </font>
    <font>
      <b/>
      <sz val="11"/>
      <color theme="0"/>
      <name val="Calibri"/>
      <family val="2"/>
    </font>
    <font>
      <sz val="11"/>
      <color theme="1"/>
      <name val="Arial"/>
      <family val="2"/>
    </font>
    <font>
      <sz val="11"/>
      <color theme="0"/>
      <name val="Calibri"/>
      <family val="2"/>
    </font>
    <font>
      <sz val="11"/>
      <color rgb="FFFFFFFF"/>
      <name val="Calibri"/>
      <family val="2"/>
    </font>
    <font>
      <b/>
      <sz val="11"/>
      <color rgb="FFFFFFFF"/>
      <name val="Calibri"/>
      <family val="2"/>
    </font>
    <font>
      <sz val="11"/>
      <name val="&quot;Times New Roman&quot;"/>
    </font>
    <font>
      <b/>
      <sz val="11"/>
      <color rgb="FF000000"/>
      <name val="Calibri"/>
      <family val="2"/>
      <scheme val="minor"/>
    </font>
    <font>
      <b/>
      <sz val="12"/>
      <color theme="0"/>
      <name val="Times New Roman"/>
      <family val="1"/>
    </font>
    <font>
      <b/>
      <sz val="12"/>
      <color theme="0"/>
      <name val="Calibri"/>
      <family val="2"/>
      <scheme val="minor"/>
    </font>
    <font>
      <sz val="11"/>
      <color rgb="FF000000"/>
      <name val="&quot;Times New Roman"/>
    </font>
    <font>
      <sz val="11"/>
      <color theme="1"/>
      <name val="&quot;Times New Roman"/>
    </font>
    <font>
      <sz val="11"/>
      <name val="&quot;Times New Roman"/>
    </font>
    <font>
      <b/>
      <sz val="11"/>
      <color theme="1"/>
      <name val="&quot;Times New Roman"/>
    </font>
    <font>
      <b/>
      <sz val="11"/>
      <color rgb="FF000000"/>
      <name val="&quot;Times New Roman"/>
    </font>
    <font>
      <b/>
      <u/>
      <sz val="11"/>
      <color theme="1"/>
      <name val="&quot;Times New Roman"/>
    </font>
    <font>
      <sz val="11"/>
      <color rgb="FF000000"/>
      <name val="Calibri"/>
      <family val="2"/>
      <scheme val="minor"/>
    </font>
  </fonts>
  <fills count="23">
    <fill>
      <patternFill patternType="none"/>
    </fill>
    <fill>
      <patternFill patternType="gray125"/>
    </fill>
    <fill>
      <patternFill patternType="solid">
        <fgColor rgb="FF073763"/>
        <bgColor rgb="FF073763"/>
      </patternFill>
    </fill>
    <fill>
      <patternFill patternType="solid">
        <fgColor rgb="FF002060"/>
        <bgColor rgb="FF002060"/>
      </patternFill>
    </fill>
    <fill>
      <patternFill patternType="solid">
        <fgColor theme="0"/>
        <bgColor theme="0"/>
      </patternFill>
    </fill>
    <fill>
      <patternFill patternType="solid">
        <fgColor rgb="FF45818E"/>
        <bgColor rgb="FF45818E"/>
      </patternFill>
    </fill>
    <fill>
      <patternFill patternType="solid">
        <fgColor rgb="FFFFFFFF"/>
        <bgColor rgb="FFFFFFFF"/>
      </patternFill>
    </fill>
    <fill>
      <patternFill patternType="solid">
        <fgColor rgb="FFC00000"/>
        <bgColor rgb="FFC00000"/>
      </patternFill>
    </fill>
    <fill>
      <patternFill patternType="solid">
        <fgColor rgb="FFFFFF00"/>
        <bgColor rgb="FFFFFF00"/>
      </patternFill>
    </fill>
    <fill>
      <patternFill patternType="solid">
        <fgColor rgb="FFF8F9FA"/>
        <bgColor rgb="FFF8F9FA"/>
      </patternFill>
    </fill>
    <fill>
      <patternFill patternType="solid">
        <fgColor theme="4"/>
        <bgColor theme="4"/>
      </patternFill>
    </fill>
    <fill>
      <patternFill patternType="solid">
        <fgColor rgb="FF9FC5E8"/>
        <bgColor rgb="FF9FC5E8"/>
      </patternFill>
    </fill>
    <fill>
      <patternFill patternType="solid">
        <fgColor rgb="FFFF0000"/>
        <bgColor rgb="FFFF0000"/>
      </patternFill>
    </fill>
    <fill>
      <patternFill patternType="solid">
        <fgColor rgb="FF434343"/>
        <bgColor rgb="FF434343"/>
      </patternFill>
    </fill>
    <fill>
      <patternFill patternType="solid">
        <fgColor rgb="FF002060"/>
        <bgColor indexed="64"/>
      </patternFill>
    </fill>
    <fill>
      <patternFill patternType="solid">
        <fgColor theme="8" tint="-0.499984740745262"/>
        <bgColor rgb="FF45818E"/>
      </patternFill>
    </fill>
    <fill>
      <patternFill patternType="solid">
        <fgColor theme="8" tint="-0.499984740745262"/>
        <bgColor indexed="64"/>
      </patternFill>
    </fill>
    <fill>
      <patternFill patternType="solid">
        <fgColor theme="8" tint="0.79998168889431442"/>
        <bgColor rgb="FFDAEEF3"/>
      </patternFill>
    </fill>
    <fill>
      <patternFill patternType="solid">
        <fgColor theme="8" tint="0.79998168889431442"/>
        <bgColor indexed="64"/>
      </patternFill>
    </fill>
    <fill>
      <patternFill patternType="solid">
        <fgColor rgb="FF002060"/>
        <bgColor rgb="FF1F497D"/>
      </patternFill>
    </fill>
    <fill>
      <patternFill patternType="solid">
        <fgColor rgb="FF002060"/>
        <bgColor rgb="FFC9DAF8"/>
      </patternFill>
    </fill>
    <fill>
      <patternFill patternType="solid">
        <fgColor theme="4" tint="0.39997558519241921"/>
        <bgColor rgb="FFCFE2F3"/>
      </patternFill>
    </fill>
    <fill>
      <patternFill patternType="solid">
        <fgColor theme="4" tint="0.39997558519241921"/>
        <bgColor indexed="64"/>
      </patternFill>
    </fill>
  </fills>
  <borders count="106">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top/>
      <bottom style="thin">
        <color rgb="FF000000"/>
      </bottom>
      <diagonal/>
    </border>
    <border>
      <left/>
      <right/>
      <top/>
      <bottom/>
      <diagonal/>
    </border>
    <border>
      <left style="thin">
        <color rgb="FF000000"/>
      </left>
      <right/>
      <top/>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2060"/>
      </left>
      <right style="thin">
        <color rgb="FF002060"/>
      </right>
      <top style="thin">
        <color rgb="FF002060"/>
      </top>
      <bottom style="thin">
        <color rgb="FF00206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right/>
      <top style="medium">
        <color rgb="FF000000"/>
      </top>
      <bottom style="thin">
        <color rgb="FF000000"/>
      </bottom>
      <diagonal/>
    </border>
    <border>
      <left/>
      <right/>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000000"/>
      </right>
      <top style="thin">
        <color rgb="FFF8F9FA"/>
      </top>
      <bottom style="thin">
        <color rgb="FFF8F9FA"/>
      </bottom>
      <diagonal/>
    </border>
    <border>
      <left style="thin">
        <color rgb="FF000000"/>
      </left>
      <right style="thin">
        <color rgb="FFF8F9FA"/>
      </right>
      <top style="thin">
        <color rgb="FFF8F9FA"/>
      </top>
      <bottom style="thin">
        <color rgb="FF000000"/>
      </bottom>
      <diagonal/>
    </border>
    <border>
      <left style="thin">
        <color rgb="FFF8F9FA"/>
      </left>
      <right style="thin">
        <color rgb="FFF8F9FA"/>
      </right>
      <top style="thin">
        <color rgb="FFF8F9FA"/>
      </top>
      <bottom style="thin">
        <color rgb="FF000000"/>
      </bottom>
      <diagonal/>
    </border>
    <border>
      <left style="thin">
        <color rgb="FFF8F9FA"/>
      </left>
      <right style="thin">
        <color rgb="FF000000"/>
      </right>
      <top style="thin">
        <color rgb="FFF8F9FA"/>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right/>
      <top style="thin">
        <color indexed="64"/>
      </top>
      <bottom/>
      <diagonal/>
    </border>
    <border>
      <left style="thin">
        <color rgb="FF000000"/>
      </left>
      <right/>
      <top/>
      <bottom style="thin">
        <color indexed="64"/>
      </bottom>
      <diagonal/>
    </border>
    <border>
      <left/>
      <right/>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356854"/>
      </right>
      <top style="thin">
        <color rgb="FF000000"/>
      </top>
      <bottom/>
      <diagonal/>
    </border>
    <border>
      <left style="thin">
        <color rgb="FF356854"/>
      </left>
      <right style="thin">
        <color rgb="FF356854"/>
      </right>
      <top style="thin">
        <color rgb="FF000000"/>
      </top>
      <bottom/>
      <diagonal/>
    </border>
    <border>
      <left style="thin">
        <color rgb="FF356854"/>
      </left>
      <right style="thin">
        <color rgb="FF000000"/>
      </right>
      <top style="thin">
        <color rgb="FF000000"/>
      </top>
      <bottom/>
      <diagonal/>
    </border>
    <border>
      <left style="thin">
        <color rgb="FF000000"/>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000000"/>
      </right>
      <top/>
      <bottom style="thin">
        <color rgb="FFFFFFFF"/>
      </bottom>
      <diagonal/>
    </border>
    <border>
      <left style="thin">
        <color indexed="64"/>
      </left>
      <right style="thin">
        <color rgb="FFFFFFFF"/>
      </right>
      <top style="thin">
        <color indexed="64"/>
      </top>
      <bottom style="thin">
        <color rgb="FFFFFFFF"/>
      </bottom>
      <diagonal/>
    </border>
    <border>
      <left style="thin">
        <color rgb="FFFFFFFF"/>
      </left>
      <right style="thin">
        <color rgb="FFFFFFFF"/>
      </right>
      <top style="thin">
        <color indexed="64"/>
      </top>
      <bottom style="thin">
        <color rgb="FFFFFFFF"/>
      </bottom>
      <diagonal/>
    </border>
    <border>
      <left style="thin">
        <color rgb="FFFFFFFF"/>
      </left>
      <right style="thin">
        <color indexed="64"/>
      </right>
      <top style="thin">
        <color indexed="64"/>
      </top>
      <bottom style="thin">
        <color rgb="FFFFFFFF"/>
      </bottom>
      <diagonal/>
    </border>
    <border>
      <left style="thin">
        <color indexed="64"/>
      </left>
      <right style="thin">
        <color rgb="FFF8F9FA"/>
      </right>
      <top style="thin">
        <color rgb="FFF8F9FA"/>
      </top>
      <bottom style="thin">
        <color indexed="64"/>
      </bottom>
      <diagonal/>
    </border>
    <border>
      <left style="thin">
        <color rgb="FFF8F9FA"/>
      </left>
      <right style="thin">
        <color rgb="FFF8F9FA"/>
      </right>
      <top style="thin">
        <color rgb="FFF8F9FA"/>
      </top>
      <bottom style="thin">
        <color indexed="64"/>
      </bottom>
      <diagonal/>
    </border>
    <border>
      <left style="thin">
        <color rgb="FFF8F9FA"/>
      </left>
      <right style="thin">
        <color indexed="64"/>
      </right>
      <top style="thin">
        <color rgb="FFF8F9FA"/>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s>
  <cellStyleXfs count="1">
    <xf numFmtId="0" fontId="0" fillId="0" borderId="0"/>
  </cellStyleXfs>
  <cellXfs count="966">
    <xf numFmtId="0" fontId="0" fillId="0" borderId="0" xfId="0"/>
    <xf numFmtId="0" fontId="2" fillId="0" borderId="0" xfId="0" applyFont="1"/>
    <xf numFmtId="164" fontId="2" fillId="0" borderId="0" xfId="0" applyNumberFormat="1" applyFont="1" applyAlignment="1">
      <alignment horizontal="right"/>
    </xf>
    <xf numFmtId="0" fontId="2" fillId="0" borderId="0" xfId="0" applyFont="1" applyAlignment="1">
      <alignment horizontal="right"/>
    </xf>
    <xf numFmtId="165" fontId="2" fillId="0" borderId="0" xfId="0" applyNumberFormat="1" applyFont="1" applyAlignment="1">
      <alignment horizontal="right"/>
    </xf>
    <xf numFmtId="43" fontId="2" fillId="0" borderId="0" xfId="0" applyNumberFormat="1" applyFont="1" applyAlignment="1">
      <alignment horizontal="right"/>
    </xf>
    <xf numFmtId="0" fontId="5" fillId="0" borderId="0" xfId="0" applyFont="1"/>
    <xf numFmtId="43" fontId="2" fillId="0" borderId="0" xfId="0" applyNumberFormat="1" applyFont="1" applyAlignment="1">
      <alignment horizontal="left"/>
    </xf>
    <xf numFmtId="0" fontId="7" fillId="0" borderId="0" xfId="0" applyFont="1"/>
    <xf numFmtId="43" fontId="2" fillId="0" borderId="0" xfId="0" applyNumberFormat="1" applyFont="1"/>
    <xf numFmtId="165" fontId="2" fillId="0" borderId="0" xfId="0" applyNumberFormat="1" applyFont="1"/>
    <xf numFmtId="166" fontId="2" fillId="0" borderId="0" xfId="0" applyNumberFormat="1" applyFont="1"/>
    <xf numFmtId="43" fontId="2" fillId="4" borderId="0" xfId="0" applyNumberFormat="1" applyFont="1" applyFill="1" applyAlignment="1">
      <alignment horizontal="right"/>
    </xf>
    <xf numFmtId="0" fontId="8" fillId="0" borderId="5" xfId="0" applyFont="1" applyBorder="1"/>
    <xf numFmtId="0" fontId="10" fillId="0" borderId="7" xfId="0" applyFont="1" applyBorder="1" applyAlignment="1">
      <alignment horizontal="left"/>
    </xf>
    <xf numFmtId="43" fontId="2" fillId="0" borderId="11" xfId="0" applyNumberFormat="1" applyFont="1" applyBorder="1" applyAlignment="1">
      <alignment horizontal="right"/>
    </xf>
    <xf numFmtId="0" fontId="13" fillId="0" borderId="8" xfId="0" applyFont="1" applyBorder="1"/>
    <xf numFmtId="164" fontId="9" fillId="0" borderId="14" xfId="0" quotePrefix="1" applyNumberFormat="1" applyFont="1" applyBorder="1" applyAlignment="1">
      <alignment horizontal="center" vertical="center"/>
    </xf>
    <xf numFmtId="0" fontId="9" fillId="0" borderId="14" xfId="0" quotePrefix="1" applyFont="1" applyBorder="1" applyAlignment="1">
      <alignment horizontal="center" vertical="center"/>
    </xf>
    <xf numFmtId="165" fontId="9" fillId="0" borderId="14" xfId="0" quotePrefix="1" applyNumberFormat="1" applyFont="1" applyBorder="1" applyAlignment="1">
      <alignment horizontal="center" vertical="center"/>
    </xf>
    <xf numFmtId="164" fontId="9" fillId="0" borderId="14" xfId="0" quotePrefix="1" applyNumberFormat="1" applyFont="1" applyBorder="1" applyAlignment="1">
      <alignment horizontal="right"/>
    </xf>
    <xf numFmtId="0" fontId="6" fillId="5" borderId="14" xfId="0" quotePrefix="1" applyFont="1" applyFill="1" applyBorder="1" applyAlignment="1">
      <alignment horizontal="right"/>
    </xf>
    <xf numFmtId="0" fontId="14" fillId="0" borderId="7" xfId="0" applyFont="1" applyBorder="1"/>
    <xf numFmtId="0" fontId="6" fillId="0" borderId="16" xfId="0" quotePrefix="1" applyFont="1" applyBorder="1" applyAlignment="1">
      <alignment horizontal="right"/>
    </xf>
    <xf numFmtId="0" fontId="9" fillId="0" borderId="16" xfId="0" quotePrefix="1" applyFont="1" applyBorder="1" applyAlignment="1">
      <alignment horizontal="right"/>
    </xf>
    <xf numFmtId="168" fontId="2" fillId="6" borderId="14" xfId="0" applyNumberFormat="1" applyFont="1" applyFill="1" applyBorder="1" applyAlignment="1">
      <alignment horizontal="right"/>
    </xf>
    <xf numFmtId="169" fontId="2" fillId="0" borderId="18" xfId="0" applyNumberFormat="1" applyFont="1" applyBorder="1" applyAlignment="1">
      <alignment horizontal="right"/>
    </xf>
    <xf numFmtId="169" fontId="2" fillId="0" borderId="19" xfId="0" applyNumberFormat="1" applyFont="1" applyBorder="1" applyAlignment="1">
      <alignment horizontal="right"/>
    </xf>
    <xf numFmtId="169" fontId="2" fillId="0" borderId="19" xfId="0" applyNumberFormat="1" applyFont="1" applyBorder="1"/>
    <xf numFmtId="169" fontId="2" fillId="0" borderId="18" xfId="0" applyNumberFormat="1" applyFont="1" applyBorder="1"/>
    <xf numFmtId="169" fontId="2" fillId="0" borderId="15" xfId="0" applyNumberFormat="1" applyFont="1" applyBorder="1" applyAlignment="1">
      <alignment horizontal="right"/>
    </xf>
    <xf numFmtId="169" fontId="14" fillId="0" borderId="18" xfId="0" applyNumberFormat="1" applyFont="1" applyBorder="1"/>
    <xf numFmtId="165" fontId="2" fillId="0" borderId="19" xfId="0" applyNumberFormat="1" applyFont="1" applyBorder="1" applyAlignment="1">
      <alignment horizontal="right"/>
    </xf>
    <xf numFmtId="165" fontId="2" fillId="0" borderId="18" xfId="0" applyNumberFormat="1" applyFont="1" applyBorder="1" applyAlignment="1">
      <alignment horizontal="right"/>
    </xf>
    <xf numFmtId="0" fontId="2" fillId="0" borderId="7" xfId="0" applyFont="1" applyBorder="1" applyAlignment="1">
      <alignment horizontal="left"/>
    </xf>
    <xf numFmtId="168" fontId="2" fillId="0" borderId="18" xfId="0" applyNumberFormat="1" applyFont="1" applyBorder="1" applyAlignment="1">
      <alignment horizontal="right"/>
    </xf>
    <xf numFmtId="0" fontId="17" fillId="0" borderId="5" xfId="0" applyFont="1" applyBorder="1" applyAlignment="1">
      <alignment horizontal="left"/>
    </xf>
    <xf numFmtId="168" fontId="17" fillId="0" borderId="19" xfId="0" applyNumberFormat="1" applyFont="1" applyBorder="1" applyAlignment="1">
      <alignment horizontal="right"/>
    </xf>
    <xf numFmtId="169" fontId="17" fillId="0" borderId="19" xfId="0" applyNumberFormat="1" applyFont="1" applyBorder="1" applyAlignment="1">
      <alignment horizontal="right"/>
    </xf>
    <xf numFmtId="169" fontId="17" fillId="0" borderId="14" xfId="0" applyNumberFormat="1" applyFont="1" applyBorder="1" applyAlignment="1">
      <alignment horizontal="right"/>
    </xf>
    <xf numFmtId="169" fontId="8" fillId="0" borderId="19" xfId="0" applyNumberFormat="1" applyFont="1" applyBorder="1"/>
    <xf numFmtId="170" fontId="17" fillId="0" borderId="20" xfId="0" applyNumberFormat="1" applyFont="1" applyBorder="1" applyAlignment="1">
      <alignment horizontal="right"/>
    </xf>
    <xf numFmtId="170" fontId="17" fillId="0" borderId="19" xfId="0" applyNumberFormat="1" applyFont="1" applyBorder="1" applyAlignment="1">
      <alignment horizontal="right"/>
    </xf>
    <xf numFmtId="165" fontId="17" fillId="0" borderId="20" xfId="0" applyNumberFormat="1" applyFont="1" applyBorder="1" applyAlignment="1">
      <alignment horizontal="right"/>
    </xf>
    <xf numFmtId="165" fontId="17" fillId="0" borderId="19" xfId="0" applyNumberFormat="1" applyFont="1" applyBorder="1" applyAlignment="1">
      <alignment horizontal="right"/>
    </xf>
    <xf numFmtId="1" fontId="8" fillId="0" borderId="20" xfId="0" applyNumberFormat="1" applyFont="1" applyBorder="1"/>
    <xf numFmtId="1" fontId="8" fillId="0" borderId="19" xfId="0" applyNumberFormat="1" applyFont="1" applyBorder="1"/>
    <xf numFmtId="170" fontId="2" fillId="0" borderId="0" xfId="0" applyNumberFormat="1" applyFont="1" applyAlignment="1">
      <alignment horizontal="right"/>
    </xf>
    <xf numFmtId="170" fontId="2" fillId="0" borderId="18" xfId="0" applyNumberFormat="1" applyFont="1" applyBorder="1" applyAlignment="1">
      <alignment horizontal="right"/>
    </xf>
    <xf numFmtId="169" fontId="14" fillId="0" borderId="19" xfId="0" applyNumberFormat="1" applyFont="1" applyBorder="1"/>
    <xf numFmtId="171" fontId="17" fillId="0" borderId="20" xfId="0" applyNumberFormat="1" applyFont="1" applyBorder="1" applyAlignment="1">
      <alignment horizontal="right"/>
    </xf>
    <xf numFmtId="0" fontId="8" fillId="0" borderId="7" xfId="0" applyFont="1" applyBorder="1"/>
    <xf numFmtId="0" fontId="8" fillId="0" borderId="0" xfId="0" applyFont="1"/>
    <xf numFmtId="0" fontId="2" fillId="0" borderId="7" xfId="0" applyFont="1" applyBorder="1"/>
    <xf numFmtId="0" fontId="2" fillId="0" borderId="8" xfId="0" applyFont="1" applyBorder="1"/>
    <xf numFmtId="168" fontId="2" fillId="0" borderId="8" xfId="0" applyNumberFormat="1" applyFont="1" applyBorder="1" applyAlignment="1">
      <alignment horizontal="right"/>
    </xf>
    <xf numFmtId="0" fontId="17" fillId="0" borderId="6" xfId="0" applyFont="1" applyBorder="1" applyAlignment="1">
      <alignment horizontal="left"/>
    </xf>
    <xf numFmtId="168" fontId="17" fillId="0" borderId="6" xfId="0" applyNumberFormat="1" applyFont="1" applyBorder="1" applyAlignment="1">
      <alignment horizontal="right"/>
    </xf>
    <xf numFmtId="171" fontId="17" fillId="0" borderId="19" xfId="0" applyNumberFormat="1" applyFont="1" applyBorder="1" applyAlignment="1">
      <alignment horizontal="right"/>
    </xf>
    <xf numFmtId="0" fontId="17" fillId="0" borderId="8" xfId="0" applyFont="1" applyBorder="1" applyAlignment="1">
      <alignment horizontal="left"/>
    </xf>
    <xf numFmtId="168" fontId="16" fillId="0" borderId="8" xfId="0" applyNumberFormat="1" applyFont="1" applyBorder="1"/>
    <xf numFmtId="169" fontId="16" fillId="0" borderId="18" xfId="0" applyNumberFormat="1" applyFont="1" applyBorder="1"/>
    <xf numFmtId="169" fontId="17" fillId="0" borderId="18" xfId="0" applyNumberFormat="1" applyFont="1" applyBorder="1" applyAlignment="1">
      <alignment horizontal="right"/>
    </xf>
    <xf numFmtId="165" fontId="17" fillId="0" borderId="0" xfId="0" applyNumberFormat="1" applyFont="1" applyAlignment="1">
      <alignment horizontal="right"/>
    </xf>
    <xf numFmtId="165" fontId="17" fillId="0" borderId="18" xfId="0" applyNumberFormat="1" applyFont="1" applyBorder="1" applyAlignment="1">
      <alignment horizontal="right"/>
    </xf>
    <xf numFmtId="165" fontId="19" fillId="0" borderId="18" xfId="0" applyNumberFormat="1" applyFont="1" applyBorder="1"/>
    <xf numFmtId="0" fontId="2" fillId="0" borderId="8" xfId="0" applyFont="1" applyBorder="1" applyAlignment="1">
      <alignment horizontal="left"/>
    </xf>
    <xf numFmtId="168" fontId="2" fillId="0" borderId="8" xfId="0" applyNumberFormat="1" applyFont="1" applyBorder="1"/>
    <xf numFmtId="0" fontId="19" fillId="0" borderId="18" xfId="0" applyFont="1" applyBorder="1"/>
    <xf numFmtId="165" fontId="20" fillId="0" borderId="0" xfId="0" applyNumberFormat="1" applyFont="1"/>
    <xf numFmtId="168" fontId="17" fillId="0" borderId="18" xfId="0" applyNumberFormat="1" applyFont="1" applyBorder="1" applyAlignment="1">
      <alignment horizontal="right"/>
    </xf>
    <xf numFmtId="0" fontId="17" fillId="0" borderId="5" xfId="0" applyFont="1" applyBorder="1"/>
    <xf numFmtId="1" fontId="17" fillId="0" borderId="20" xfId="0" applyNumberFormat="1" applyFont="1" applyBorder="1" applyAlignment="1">
      <alignment horizontal="right"/>
    </xf>
    <xf numFmtId="1" fontId="17" fillId="0" borderId="19" xfId="0" applyNumberFormat="1" applyFont="1" applyBorder="1" applyAlignment="1">
      <alignment horizontal="right"/>
    </xf>
    <xf numFmtId="168" fontId="16" fillId="0" borderId="18" xfId="0" applyNumberFormat="1" applyFont="1" applyBorder="1"/>
    <xf numFmtId="0" fontId="17" fillId="0" borderId="7" xfId="0" applyFont="1" applyBorder="1"/>
    <xf numFmtId="169" fontId="16" fillId="0" borderId="18" xfId="0" applyNumberFormat="1" applyFont="1" applyBorder="1" applyAlignment="1">
      <alignment horizontal="right"/>
    </xf>
    <xf numFmtId="0" fontId="14" fillId="0" borderId="21" xfId="0" applyFont="1" applyBorder="1"/>
    <xf numFmtId="168" fontId="17" fillId="0" borderId="23" xfId="0" applyNumberFormat="1" applyFont="1" applyBorder="1" applyAlignment="1">
      <alignment horizontal="right"/>
    </xf>
    <xf numFmtId="169" fontId="17" fillId="0" borderId="23" xfId="0" applyNumberFormat="1" applyFont="1" applyBorder="1" applyAlignment="1">
      <alignment horizontal="right"/>
    </xf>
    <xf numFmtId="0" fontId="14" fillId="0" borderId="0" xfId="0" applyFont="1"/>
    <xf numFmtId="0" fontId="16" fillId="0" borderId="7" xfId="0" applyFont="1" applyBorder="1" applyAlignment="1">
      <alignment horizontal="left"/>
    </xf>
    <xf numFmtId="167" fontId="17" fillId="0" borderId="24" xfId="0" applyNumberFormat="1" applyFont="1" applyBorder="1" applyAlignment="1">
      <alignment horizontal="right"/>
    </xf>
    <xf numFmtId="43" fontId="17" fillId="0" borderId="24" xfId="0" applyNumberFormat="1" applyFont="1" applyBorder="1" applyAlignment="1">
      <alignment horizontal="right"/>
    </xf>
    <xf numFmtId="43" fontId="2" fillId="0" borderId="24" xfId="0" applyNumberFormat="1" applyFont="1" applyBorder="1" applyAlignment="1">
      <alignment horizontal="right"/>
    </xf>
    <xf numFmtId="0" fontId="20" fillId="0" borderId="8" xfId="0" applyFont="1" applyBorder="1"/>
    <xf numFmtId="0" fontId="2" fillId="0" borderId="25" xfId="0" applyFont="1" applyBorder="1" applyAlignment="1">
      <alignment horizontal="left"/>
    </xf>
    <xf numFmtId="0" fontId="2" fillId="0" borderId="26" xfId="0" applyFont="1" applyBorder="1" applyAlignment="1">
      <alignment horizontal="left"/>
    </xf>
    <xf numFmtId="9" fontId="2" fillId="0" borderId="18" xfId="0" applyNumberFormat="1" applyFont="1" applyBorder="1" applyAlignment="1">
      <alignment horizontal="right"/>
    </xf>
    <xf numFmtId="9" fontId="2" fillId="0" borderId="0" xfId="0" applyNumberFormat="1" applyFont="1" applyAlignment="1">
      <alignment horizontal="right"/>
    </xf>
    <xf numFmtId="9" fontId="17" fillId="0" borderId="0" xfId="0" applyNumberFormat="1" applyFont="1" applyAlignment="1">
      <alignment horizontal="right"/>
    </xf>
    <xf numFmtId="9" fontId="17" fillId="0" borderId="18" xfId="0" applyNumberFormat="1" applyFont="1" applyBorder="1" applyAlignment="1">
      <alignment horizontal="right"/>
    </xf>
    <xf numFmtId="9" fontId="2" fillId="0" borderId="27" xfId="0" applyNumberFormat="1" applyFont="1" applyBorder="1" applyAlignment="1">
      <alignment horizontal="right"/>
    </xf>
    <xf numFmtId="0" fontId="2" fillId="0" borderId="0" xfId="0" applyFont="1" applyAlignment="1">
      <alignment horizontal="left"/>
    </xf>
    <xf numFmtId="0" fontId="17" fillId="0" borderId="0" xfId="0" applyFont="1" applyAlignment="1">
      <alignment horizontal="left"/>
    </xf>
    <xf numFmtId="43" fontId="21" fillId="0" borderId="25" xfId="0" applyNumberFormat="1" applyFont="1" applyBorder="1" applyAlignment="1">
      <alignment horizontal="right"/>
    </xf>
    <xf numFmtId="43" fontId="17" fillId="0" borderId="25" xfId="0" applyNumberFormat="1" applyFont="1" applyBorder="1" applyAlignment="1">
      <alignment horizontal="right"/>
    </xf>
    <xf numFmtId="43" fontId="17" fillId="0" borderId="28" xfId="0" applyNumberFormat="1" applyFont="1" applyBorder="1" applyAlignment="1">
      <alignment horizontal="right"/>
    </xf>
    <xf numFmtId="43" fontId="21" fillId="0" borderId="28" xfId="0" applyNumberFormat="1" applyFont="1" applyBorder="1" applyAlignment="1">
      <alignment horizontal="right"/>
    </xf>
    <xf numFmtId="43" fontId="21" fillId="0" borderId="20" xfId="0" applyNumberFormat="1" applyFont="1" applyBorder="1" applyAlignment="1">
      <alignment horizontal="right"/>
    </xf>
    <xf numFmtId="165" fontId="21" fillId="0" borderId="28" xfId="0" applyNumberFormat="1" applyFont="1" applyBorder="1" applyAlignment="1">
      <alignment horizontal="right"/>
    </xf>
    <xf numFmtId="43" fontId="17" fillId="0" borderId="20" xfId="0" applyNumberFormat="1" applyFont="1" applyBorder="1" applyAlignment="1">
      <alignment horizontal="right"/>
    </xf>
    <xf numFmtId="43" fontId="21" fillId="0" borderId="0" xfId="0" applyNumberFormat="1" applyFont="1" applyAlignment="1">
      <alignment horizontal="right"/>
    </xf>
    <xf numFmtId="43" fontId="17" fillId="0" borderId="0" xfId="0" applyNumberFormat="1" applyFont="1" applyAlignment="1">
      <alignment horizontal="right"/>
    </xf>
    <xf numFmtId="172" fontId="2" fillId="0" borderId="5" xfId="0" applyNumberFormat="1" applyFont="1" applyBorder="1" applyAlignment="1">
      <alignment horizontal="right"/>
    </xf>
    <xf numFmtId="172" fontId="2" fillId="0" borderId="19" xfId="0" applyNumberFormat="1" applyFont="1" applyBorder="1" applyAlignment="1">
      <alignment horizontal="right"/>
    </xf>
    <xf numFmtId="172" fontId="2" fillId="0" borderId="20" xfId="0" applyNumberFormat="1" applyFont="1" applyBorder="1" applyAlignment="1">
      <alignment horizontal="right"/>
    </xf>
    <xf numFmtId="172" fontId="2" fillId="0" borderId="6" xfId="0" applyNumberFormat="1" applyFont="1" applyBorder="1" applyAlignment="1">
      <alignment horizontal="right"/>
    </xf>
    <xf numFmtId="10" fontId="2" fillId="0" borderId="19" xfId="0" applyNumberFormat="1" applyFont="1" applyBorder="1" applyAlignment="1">
      <alignment horizontal="right"/>
    </xf>
    <xf numFmtId="164" fontId="2" fillId="0" borderId="18" xfId="0" applyNumberFormat="1" applyFont="1" applyBorder="1" applyAlignment="1">
      <alignment horizontal="right"/>
    </xf>
    <xf numFmtId="164" fontId="2" fillId="0" borderId="19" xfId="0" applyNumberFormat="1" applyFont="1" applyBorder="1" applyAlignment="1">
      <alignment horizontal="right"/>
    </xf>
    <xf numFmtId="0" fontId="19" fillId="0" borderId="19" xfId="0" applyFont="1" applyBorder="1"/>
    <xf numFmtId="10" fontId="2" fillId="0" borderId="0" xfId="0" applyNumberFormat="1" applyFont="1" applyAlignment="1">
      <alignment horizontal="right"/>
    </xf>
    <xf numFmtId="10" fontId="2" fillId="0" borderId="18" xfId="0" applyNumberFormat="1" applyFont="1" applyBorder="1" applyAlignment="1">
      <alignment horizontal="right"/>
    </xf>
    <xf numFmtId="10" fontId="2" fillId="0" borderId="8" xfId="0" applyNumberFormat="1" applyFont="1" applyBorder="1" applyAlignment="1">
      <alignment horizontal="right"/>
    </xf>
    <xf numFmtId="9" fontId="2" fillId="0" borderId="8" xfId="0" applyNumberFormat="1" applyFont="1" applyBorder="1" applyAlignment="1">
      <alignment horizontal="right"/>
    </xf>
    <xf numFmtId="0" fontId="16" fillId="0" borderId="8" xfId="0" applyFont="1" applyBorder="1" applyAlignment="1">
      <alignment horizontal="left"/>
    </xf>
    <xf numFmtId="10" fontId="19" fillId="0" borderId="18" xfId="0" applyNumberFormat="1" applyFont="1" applyBorder="1"/>
    <xf numFmtId="172" fontId="2" fillId="0" borderId="18" xfId="0" applyNumberFormat="1" applyFont="1" applyBorder="1" applyAlignment="1">
      <alignment horizontal="right"/>
    </xf>
    <xf numFmtId="0" fontId="16" fillId="0" borderId="8" xfId="0" applyFont="1" applyBorder="1"/>
    <xf numFmtId="0" fontId="16" fillId="0" borderId="9" xfId="0" applyFont="1" applyBorder="1" applyAlignment="1">
      <alignment horizontal="left"/>
    </xf>
    <xf numFmtId="0" fontId="16" fillId="0" borderId="10" xfId="0" applyFont="1" applyBorder="1" applyAlignment="1">
      <alignment horizontal="left"/>
    </xf>
    <xf numFmtId="10" fontId="2" fillId="0" borderId="7" xfId="0" applyNumberFormat="1" applyFont="1" applyBorder="1" applyAlignment="1">
      <alignment horizontal="right"/>
    </xf>
    <xf numFmtId="172" fontId="2" fillId="0" borderId="0" xfId="0" applyNumberFormat="1" applyFont="1" applyAlignment="1">
      <alignment horizontal="right"/>
    </xf>
    <xf numFmtId="172" fontId="2" fillId="0" borderId="8" xfId="0" applyNumberFormat="1" applyFont="1" applyBorder="1" applyAlignment="1">
      <alignment horizontal="right"/>
    </xf>
    <xf numFmtId="172" fontId="2" fillId="0" borderId="9" xfId="0" applyNumberFormat="1" applyFont="1" applyBorder="1" applyAlignment="1">
      <alignment horizontal="right"/>
    </xf>
    <xf numFmtId="172" fontId="2" fillId="0" borderId="24" xfId="0" applyNumberFormat="1" applyFont="1" applyBorder="1" applyAlignment="1">
      <alignment horizontal="right"/>
    </xf>
    <xf numFmtId="164" fontId="2" fillId="0" borderId="24" xfId="0" applyNumberFormat="1" applyFont="1" applyBorder="1" applyAlignment="1">
      <alignment horizontal="right"/>
    </xf>
    <xf numFmtId="0" fontId="19" fillId="0" borderId="24" xfId="0" applyFont="1" applyBorder="1"/>
    <xf numFmtId="0" fontId="2" fillId="0" borderId="20" xfId="0" applyFont="1" applyBorder="1" applyAlignment="1">
      <alignment horizontal="left"/>
    </xf>
    <xf numFmtId="0" fontId="12" fillId="0" borderId="11" xfId="0" applyFont="1" applyBorder="1"/>
    <xf numFmtId="165" fontId="26" fillId="0" borderId="18" xfId="0" applyNumberFormat="1" applyFont="1" applyBorder="1" applyAlignment="1">
      <alignment horizontal="right"/>
    </xf>
    <xf numFmtId="165" fontId="25" fillId="0" borderId="18" xfId="0" applyNumberFormat="1" applyFont="1" applyBorder="1" applyAlignment="1">
      <alignment horizontal="right"/>
    </xf>
    <xf numFmtId="165" fontId="24" fillId="0" borderId="18" xfId="0" applyNumberFormat="1" applyFont="1" applyBorder="1" applyAlignment="1">
      <alignment horizontal="right"/>
    </xf>
    <xf numFmtId="170" fontId="16" fillId="0" borderId="18" xfId="0" applyNumberFormat="1" applyFont="1" applyBorder="1" applyAlignment="1">
      <alignment horizontal="right"/>
    </xf>
    <xf numFmtId="170" fontId="2" fillId="0" borderId="18" xfId="0" applyNumberFormat="1" applyFont="1" applyBorder="1"/>
    <xf numFmtId="170" fontId="14" fillId="0" borderId="18" xfId="0" applyNumberFormat="1" applyFont="1" applyBorder="1"/>
    <xf numFmtId="170" fontId="15" fillId="0" borderId="18" xfId="0" applyNumberFormat="1" applyFont="1" applyBorder="1" applyAlignment="1">
      <alignment horizontal="right"/>
    </xf>
    <xf numFmtId="170" fontId="15" fillId="0" borderId="18" xfId="0" applyNumberFormat="1" applyFont="1" applyBorder="1"/>
    <xf numFmtId="170" fontId="16" fillId="0" borderId="18" xfId="0" applyNumberFormat="1" applyFont="1" applyBorder="1"/>
    <xf numFmtId="170" fontId="19" fillId="0" borderId="18" xfId="0" applyNumberFormat="1" applyFont="1" applyBorder="1"/>
    <xf numFmtId="0" fontId="16" fillId="0" borderId="18" xfId="0" applyFont="1" applyBorder="1" applyAlignment="1">
      <alignment horizontal="right"/>
    </xf>
    <xf numFmtId="170" fontId="17" fillId="0" borderId="23" xfId="0" applyNumberFormat="1" applyFont="1" applyBorder="1" applyAlignment="1">
      <alignment horizontal="right"/>
    </xf>
    <xf numFmtId="165" fontId="17" fillId="0" borderId="23" xfId="0" applyNumberFormat="1" applyFont="1" applyBorder="1" applyAlignment="1">
      <alignment horizontal="right"/>
    </xf>
    <xf numFmtId="168" fontId="19" fillId="0" borderId="18" xfId="0" applyNumberFormat="1" applyFont="1" applyBorder="1"/>
    <xf numFmtId="0" fontId="14" fillId="0" borderId="18" xfId="0" applyFont="1" applyBorder="1"/>
    <xf numFmtId="0" fontId="2" fillId="0" borderId="7" xfId="0" applyFont="1" applyBorder="1" applyAlignment="1">
      <alignment horizontal="left" vertical="top"/>
    </xf>
    <xf numFmtId="165" fontId="27" fillId="0" borderId="0" xfId="0" applyNumberFormat="1" applyFont="1"/>
    <xf numFmtId="165" fontId="8" fillId="0" borderId="0" xfId="0" applyNumberFormat="1" applyFont="1"/>
    <xf numFmtId="165" fontId="14" fillId="0" borderId="0" xfId="0" applyNumberFormat="1" applyFont="1"/>
    <xf numFmtId="173" fontId="2" fillId="0" borderId="18" xfId="0" applyNumberFormat="1" applyFont="1" applyBorder="1" applyAlignment="1">
      <alignment horizontal="right"/>
    </xf>
    <xf numFmtId="0" fontId="2" fillId="0" borderId="0" xfId="0" applyFont="1" applyAlignment="1">
      <alignment horizontal="left" vertical="top"/>
    </xf>
    <xf numFmtId="165" fontId="16" fillId="0" borderId="18" xfId="0" applyNumberFormat="1" applyFont="1" applyBorder="1" applyAlignment="1">
      <alignment horizontal="right"/>
    </xf>
    <xf numFmtId="170" fontId="2" fillId="0" borderId="24" xfId="0" applyNumberFormat="1" applyFont="1" applyBorder="1" applyAlignment="1">
      <alignment horizontal="right"/>
    </xf>
    <xf numFmtId="170" fontId="16" fillId="0" borderId="24" xfId="0" applyNumberFormat="1" applyFont="1" applyBorder="1" applyAlignment="1">
      <alignment horizontal="right"/>
    </xf>
    <xf numFmtId="170" fontId="17" fillId="0" borderId="18" xfId="0" applyNumberFormat="1" applyFont="1" applyBorder="1" applyAlignment="1">
      <alignment horizontal="right"/>
    </xf>
    <xf numFmtId="170" fontId="17" fillId="0" borderId="7" xfId="0" applyNumberFormat="1" applyFont="1" applyBorder="1" applyAlignment="1">
      <alignment horizontal="right"/>
    </xf>
    <xf numFmtId="170" fontId="17" fillId="0" borderId="0" xfId="0" applyNumberFormat="1" applyFont="1"/>
    <xf numFmtId="170" fontId="17" fillId="0" borderId="21" xfId="0" applyNumberFormat="1" applyFont="1" applyBorder="1" applyAlignment="1">
      <alignment horizontal="right"/>
    </xf>
    <xf numFmtId="170" fontId="17" fillId="0" borderId="39" xfId="0" applyNumberFormat="1" applyFont="1" applyBorder="1"/>
    <xf numFmtId="165" fontId="17" fillId="0" borderId="41" xfId="0" applyNumberFormat="1" applyFont="1" applyBorder="1" applyAlignment="1">
      <alignment horizontal="right"/>
    </xf>
    <xf numFmtId="0" fontId="14" fillId="0" borderId="27" xfId="0" applyFont="1" applyBorder="1"/>
    <xf numFmtId="0" fontId="17" fillId="0" borderId="26" xfId="0" applyFont="1" applyBorder="1" applyAlignment="1">
      <alignment horizontal="left"/>
    </xf>
    <xf numFmtId="165" fontId="28" fillId="0" borderId="10" xfId="0" applyNumberFormat="1" applyFont="1" applyBorder="1" applyAlignment="1">
      <alignment horizontal="right"/>
    </xf>
    <xf numFmtId="165" fontId="28" fillId="0" borderId="24" xfId="0" applyNumberFormat="1" applyFont="1" applyBorder="1" applyAlignment="1">
      <alignment horizontal="right"/>
    </xf>
    <xf numFmtId="165" fontId="28" fillId="0" borderId="17" xfId="0" applyNumberFormat="1" applyFont="1" applyBorder="1" applyAlignment="1">
      <alignment horizontal="right"/>
    </xf>
    <xf numFmtId="165" fontId="28" fillId="0" borderId="9" xfId="0" applyNumberFormat="1" applyFont="1" applyBorder="1" applyAlignment="1">
      <alignment horizontal="right"/>
    </xf>
    <xf numFmtId="9" fontId="2" fillId="0" borderId="19" xfId="0" applyNumberFormat="1" applyFont="1" applyBorder="1" applyAlignment="1">
      <alignment horizontal="right"/>
    </xf>
    <xf numFmtId="0" fontId="14" fillId="0" borderId="19" xfId="0" applyFont="1" applyBorder="1"/>
    <xf numFmtId="0" fontId="18" fillId="0" borderId="8" xfId="0" applyFont="1" applyBorder="1" applyAlignment="1">
      <alignment horizontal="left"/>
    </xf>
    <xf numFmtId="2" fontId="14" fillId="0" borderId="0" xfId="0" applyNumberFormat="1" applyFont="1"/>
    <xf numFmtId="2" fontId="16" fillId="0" borderId="7" xfId="0" applyNumberFormat="1" applyFont="1" applyBorder="1" applyAlignment="1">
      <alignment horizontal="left"/>
    </xf>
    <xf numFmtId="2" fontId="29" fillId="0" borderId="8" xfId="0" applyNumberFormat="1" applyFont="1" applyBorder="1" applyAlignment="1">
      <alignment horizontal="left"/>
    </xf>
    <xf numFmtId="2" fontId="2" fillId="0" borderId="18" xfId="0" applyNumberFormat="1" applyFont="1" applyBorder="1" applyAlignment="1">
      <alignment horizontal="right"/>
    </xf>
    <xf numFmtId="2" fontId="2" fillId="0" borderId="7" xfId="0" applyNumberFormat="1" applyFont="1" applyBorder="1" applyAlignment="1">
      <alignment horizontal="right"/>
    </xf>
    <xf numFmtId="2" fontId="14" fillId="0" borderId="18" xfId="0" applyNumberFormat="1" applyFont="1" applyBorder="1"/>
    <xf numFmtId="9" fontId="14" fillId="0" borderId="18" xfId="0" applyNumberFormat="1" applyFont="1" applyBorder="1"/>
    <xf numFmtId="168" fontId="14" fillId="0" borderId="0" xfId="0" applyNumberFormat="1" applyFont="1"/>
    <xf numFmtId="168" fontId="2" fillId="0" borderId="7" xfId="0" applyNumberFormat="1" applyFont="1" applyBorder="1" applyAlignment="1">
      <alignment horizontal="right"/>
    </xf>
    <xf numFmtId="168" fontId="14" fillId="0" borderId="18" xfId="0" applyNumberFormat="1" applyFont="1" applyBorder="1"/>
    <xf numFmtId="170" fontId="2" fillId="0" borderId="7" xfId="0" applyNumberFormat="1" applyFont="1" applyBorder="1" applyAlignment="1">
      <alignment horizontal="right"/>
    </xf>
    <xf numFmtId="10" fontId="14" fillId="0" borderId="0" xfId="0" applyNumberFormat="1" applyFont="1"/>
    <xf numFmtId="10" fontId="16" fillId="0" borderId="7" xfId="0" applyNumberFormat="1" applyFont="1" applyBorder="1" applyAlignment="1">
      <alignment horizontal="left"/>
    </xf>
    <xf numFmtId="10" fontId="16" fillId="0" borderId="8" xfId="0" applyNumberFormat="1" applyFont="1" applyBorder="1" applyAlignment="1">
      <alignment horizontal="left"/>
    </xf>
    <xf numFmtId="0" fontId="16" fillId="0" borderId="7" xfId="0" applyFont="1" applyBorder="1"/>
    <xf numFmtId="2" fontId="16" fillId="0" borderId="8" xfId="0" applyNumberFormat="1" applyFont="1" applyBorder="1" applyAlignment="1">
      <alignment horizontal="left"/>
    </xf>
    <xf numFmtId="4" fontId="2" fillId="0" borderId="8" xfId="0" applyNumberFormat="1" applyFont="1" applyBorder="1" applyAlignment="1">
      <alignment horizontal="right"/>
    </xf>
    <xf numFmtId="4" fontId="2" fillId="0" borderId="0" xfId="0" applyNumberFormat="1" applyFont="1" applyAlignment="1">
      <alignment horizontal="right"/>
    </xf>
    <xf numFmtId="4" fontId="2" fillId="0" borderId="18" xfId="0" applyNumberFormat="1" applyFont="1" applyBorder="1" applyAlignment="1">
      <alignment horizontal="right"/>
    </xf>
    <xf numFmtId="9" fontId="2" fillId="0" borderId="24" xfId="0" applyNumberFormat="1" applyFont="1" applyBorder="1" applyAlignment="1">
      <alignment horizontal="right"/>
    </xf>
    <xf numFmtId="9" fontId="2" fillId="0" borderId="9" xfId="0" applyNumberFormat="1" applyFont="1" applyBorder="1" applyAlignment="1">
      <alignment horizontal="right"/>
    </xf>
    <xf numFmtId="166" fontId="2" fillId="0" borderId="0" xfId="0" applyNumberFormat="1" applyFont="1" applyAlignment="1">
      <alignment horizontal="right"/>
    </xf>
    <xf numFmtId="164" fontId="2" fillId="0" borderId="0" xfId="0" applyNumberFormat="1" applyFont="1" applyAlignment="1">
      <alignment horizontal="left"/>
    </xf>
    <xf numFmtId="0" fontId="37" fillId="0" borderId="7" xfId="0" applyFont="1" applyBorder="1" applyAlignment="1">
      <alignment horizontal="left"/>
    </xf>
    <xf numFmtId="165" fontId="2" fillId="0" borderId="8" xfId="0" applyNumberFormat="1" applyFont="1" applyBorder="1" applyAlignment="1">
      <alignment horizontal="right"/>
    </xf>
    <xf numFmtId="0" fontId="39" fillId="0" borderId="7" xfId="0" applyFont="1" applyBorder="1" applyAlignment="1">
      <alignment horizontal="left"/>
    </xf>
    <xf numFmtId="170" fontId="20" fillId="0" borderId="18" xfId="0" applyNumberFormat="1" applyFont="1" applyBorder="1"/>
    <xf numFmtId="170" fontId="20" fillId="0" borderId="0" xfId="0" applyNumberFormat="1" applyFont="1"/>
    <xf numFmtId="170" fontId="38" fillId="0" borderId="18" xfId="0" applyNumberFormat="1" applyFont="1" applyBorder="1" applyAlignment="1">
      <alignment horizontal="right"/>
    </xf>
    <xf numFmtId="170" fontId="38" fillId="0" borderId="8" xfId="0" applyNumberFormat="1" applyFont="1" applyBorder="1" applyAlignment="1">
      <alignment horizontal="right"/>
    </xf>
    <xf numFmtId="170" fontId="38" fillId="0" borderId="8" xfId="0" applyNumberFormat="1" applyFont="1" applyBorder="1"/>
    <xf numFmtId="0" fontId="39" fillId="0" borderId="0" xfId="0" applyFont="1" applyAlignment="1">
      <alignment horizontal="left"/>
    </xf>
    <xf numFmtId="3" fontId="20" fillId="0" borderId="0" xfId="0" applyNumberFormat="1" applyFont="1"/>
    <xf numFmtId="164" fontId="15" fillId="0" borderId="18" xfId="0" applyNumberFormat="1" applyFont="1" applyBorder="1" applyAlignment="1">
      <alignment horizontal="right"/>
    </xf>
    <xf numFmtId="0" fontId="20" fillId="0" borderId="0" xfId="0" applyFont="1"/>
    <xf numFmtId="0" fontId="20" fillId="0" borderId="18" xfId="0" applyFont="1" applyBorder="1"/>
    <xf numFmtId="0" fontId="2" fillId="0" borderId="18" xfId="0" applyFont="1" applyBorder="1" applyAlignment="1">
      <alignment horizontal="right"/>
    </xf>
    <xf numFmtId="0" fontId="40" fillId="0" borderId="0" xfId="0" applyFont="1" applyAlignment="1">
      <alignment horizontal="left"/>
    </xf>
    <xf numFmtId="170" fontId="41" fillId="0" borderId="8" xfId="0" applyNumberFormat="1" applyFont="1" applyBorder="1" applyAlignment="1">
      <alignment horizontal="right"/>
    </xf>
    <xf numFmtId="170" fontId="20" fillId="0" borderId="7" xfId="0" applyNumberFormat="1" applyFont="1" applyBorder="1"/>
    <xf numFmtId="170" fontId="20" fillId="0" borderId="8" xfId="0" applyNumberFormat="1" applyFont="1" applyBorder="1"/>
    <xf numFmtId="170" fontId="15" fillId="0" borderId="0" xfId="0" applyNumberFormat="1" applyFont="1" applyAlignment="1">
      <alignment horizontal="right"/>
    </xf>
    <xf numFmtId="170" fontId="15" fillId="0" borderId="8" xfId="0" applyNumberFormat="1" applyFont="1" applyBorder="1" applyAlignment="1">
      <alignment horizontal="right"/>
    </xf>
    <xf numFmtId="0" fontId="42" fillId="0" borderId="7" xfId="0" applyFont="1" applyBorder="1"/>
    <xf numFmtId="0" fontId="43" fillId="0" borderId="0" xfId="0" applyFont="1" applyAlignment="1">
      <alignment horizontal="left"/>
    </xf>
    <xf numFmtId="0" fontId="27" fillId="0" borderId="0" xfId="0" applyFont="1"/>
    <xf numFmtId="170" fontId="27" fillId="0" borderId="18" xfId="0" applyNumberFormat="1" applyFont="1" applyBorder="1"/>
    <xf numFmtId="170" fontId="27" fillId="0" borderId="0" xfId="0" applyNumberFormat="1" applyFont="1"/>
    <xf numFmtId="170" fontId="10" fillId="0" borderId="18" xfId="0" applyNumberFormat="1" applyFont="1" applyBorder="1" applyAlignment="1">
      <alignment horizontal="right"/>
    </xf>
    <xf numFmtId="0" fontId="15" fillId="0" borderId="7" xfId="0" applyFont="1" applyBorder="1"/>
    <xf numFmtId="170" fontId="15" fillId="0" borderId="18" xfId="0" applyNumberFormat="1" applyFont="1" applyBorder="1" applyAlignment="1">
      <alignment horizontal="center"/>
    </xf>
    <xf numFmtId="0" fontId="15" fillId="0" borderId="7" xfId="0" applyFont="1" applyBorder="1" applyAlignment="1">
      <alignment horizontal="left"/>
    </xf>
    <xf numFmtId="170" fontId="17" fillId="0" borderId="8" xfId="0" applyNumberFormat="1" applyFont="1" applyBorder="1" applyAlignment="1">
      <alignment horizontal="right"/>
    </xf>
    <xf numFmtId="165" fontId="17" fillId="0" borderId="8" xfId="0" applyNumberFormat="1" applyFont="1" applyBorder="1"/>
    <xf numFmtId="165" fontId="2" fillId="0" borderId="18" xfId="0" applyNumberFormat="1" applyFont="1" applyBorder="1"/>
    <xf numFmtId="165" fontId="17" fillId="0" borderId="8" xfId="0" applyNumberFormat="1" applyFont="1" applyBorder="1" applyAlignment="1">
      <alignment horizontal="right"/>
    </xf>
    <xf numFmtId="165" fontId="14" fillId="0" borderId="20" xfId="0" applyNumberFormat="1" applyFont="1" applyBorder="1"/>
    <xf numFmtId="165" fontId="14" fillId="0" borderId="19" xfId="0" applyNumberFormat="1" applyFont="1" applyBorder="1"/>
    <xf numFmtId="164" fontId="14" fillId="0" borderId="0" xfId="0" applyNumberFormat="1" applyFont="1"/>
    <xf numFmtId="164" fontId="14" fillId="0" borderId="18" xfId="0" applyNumberFormat="1" applyFont="1" applyBorder="1"/>
    <xf numFmtId="165" fontId="14" fillId="0" borderId="18" xfId="0" applyNumberFormat="1" applyFont="1" applyBorder="1"/>
    <xf numFmtId="164" fontId="14" fillId="0" borderId="8" xfId="0" applyNumberFormat="1" applyFont="1" applyBorder="1"/>
    <xf numFmtId="0" fontId="14" fillId="0" borderId="8" xfId="0" applyFont="1" applyBorder="1"/>
    <xf numFmtId="0" fontId="2" fillId="0" borderId="8" xfId="0" applyFont="1" applyBorder="1" applyAlignment="1">
      <alignment horizontal="right"/>
    </xf>
    <xf numFmtId="164" fontId="14" fillId="0" borderId="36" xfId="0" applyNumberFormat="1" applyFont="1" applyBorder="1"/>
    <xf numFmtId="164" fontId="14" fillId="0" borderId="24" xfId="0" applyNumberFormat="1" applyFont="1" applyBorder="1"/>
    <xf numFmtId="0" fontId="14" fillId="0" borderId="24" xfId="0" applyFont="1" applyBorder="1"/>
    <xf numFmtId="0" fontId="14" fillId="0" borderId="36" xfId="0" applyFont="1" applyBorder="1"/>
    <xf numFmtId="165" fontId="14" fillId="0" borderId="24" xfId="0" applyNumberFormat="1" applyFont="1" applyBorder="1"/>
    <xf numFmtId="164" fontId="14" fillId="0" borderId="10" xfId="0" applyNumberFormat="1" applyFont="1" applyBorder="1"/>
    <xf numFmtId="0" fontId="14" fillId="0" borderId="10" xfId="0" applyFont="1" applyBorder="1"/>
    <xf numFmtId="164" fontId="2" fillId="0" borderId="5" xfId="0" applyNumberFormat="1" applyFont="1" applyBorder="1" applyAlignment="1">
      <alignment horizontal="right"/>
    </xf>
    <xf numFmtId="0" fontId="2" fillId="0" borderId="20" xfId="0" applyFont="1" applyBorder="1" applyAlignment="1">
      <alignment horizontal="right"/>
    </xf>
    <xf numFmtId="0" fontId="2" fillId="0" borderId="19" xfId="0" applyFont="1" applyBorder="1" applyAlignment="1">
      <alignment horizontal="right"/>
    </xf>
    <xf numFmtId="165" fontId="2" fillId="0" borderId="20" xfId="0" applyNumberFormat="1" applyFont="1" applyBorder="1" applyAlignment="1">
      <alignment horizontal="right"/>
    </xf>
    <xf numFmtId="164" fontId="2" fillId="0" borderId="20" xfId="0" applyNumberFormat="1" applyFont="1" applyBorder="1" applyAlignment="1">
      <alignment horizontal="right"/>
    </xf>
    <xf numFmtId="0" fontId="2" fillId="0" borderId="26" xfId="0" applyFont="1" applyBorder="1" applyAlignment="1">
      <alignment horizontal="right"/>
    </xf>
    <xf numFmtId="0" fontId="2" fillId="0" borderId="27" xfId="0" applyFont="1" applyBorder="1" applyAlignment="1">
      <alignment horizontal="right"/>
    </xf>
    <xf numFmtId="164" fontId="2" fillId="0" borderId="27" xfId="0" applyNumberFormat="1" applyFont="1" applyBorder="1" applyAlignment="1">
      <alignment horizontal="right"/>
    </xf>
    <xf numFmtId="0" fontId="19" fillId="0" borderId="27" xfId="0" applyFont="1" applyBorder="1"/>
    <xf numFmtId="164" fontId="2" fillId="0" borderId="7" xfId="0" applyNumberFormat="1" applyFont="1" applyBorder="1" applyAlignment="1">
      <alignment horizontal="right"/>
    </xf>
    <xf numFmtId="167" fontId="2" fillId="0" borderId="7" xfId="0" applyNumberFormat="1" applyFont="1" applyBorder="1" applyAlignment="1">
      <alignment horizontal="right"/>
    </xf>
    <xf numFmtId="167" fontId="2" fillId="0" borderId="18" xfId="0" applyNumberFormat="1" applyFont="1" applyBorder="1" applyAlignment="1">
      <alignment horizontal="right"/>
    </xf>
    <xf numFmtId="164" fontId="2" fillId="0" borderId="9" xfId="0" applyNumberFormat="1" applyFont="1" applyBorder="1" applyAlignment="1">
      <alignment horizontal="right"/>
    </xf>
    <xf numFmtId="0" fontId="2" fillId="0" borderId="6" xfId="0" applyFont="1" applyBorder="1" applyAlignment="1">
      <alignment horizontal="right"/>
    </xf>
    <xf numFmtId="164" fontId="2" fillId="0" borderId="6" xfId="0" applyNumberFormat="1" applyFont="1" applyBorder="1" applyAlignment="1">
      <alignment horizontal="right"/>
    </xf>
    <xf numFmtId="0" fontId="14" fillId="7" borderId="11" xfId="0" applyFont="1" applyFill="1" applyBorder="1"/>
    <xf numFmtId="164" fontId="2" fillId="0" borderId="8" xfId="0" applyNumberFormat="1" applyFont="1" applyBorder="1" applyAlignment="1">
      <alignment horizontal="right"/>
    </xf>
    <xf numFmtId="175" fontId="2" fillId="0" borderId="0" xfId="0" applyNumberFormat="1" applyFont="1" applyAlignment="1">
      <alignment horizontal="right"/>
    </xf>
    <xf numFmtId="175" fontId="2" fillId="0" borderId="18" xfId="0" applyNumberFormat="1" applyFont="1" applyBorder="1" applyAlignment="1">
      <alignment horizontal="right"/>
    </xf>
    <xf numFmtId="176" fontId="2" fillId="0" borderId="24" xfId="0" applyNumberFormat="1" applyFont="1" applyBorder="1" applyAlignment="1">
      <alignment horizontal="right"/>
    </xf>
    <xf numFmtId="176" fontId="2" fillId="0" borderId="36" xfId="0" applyNumberFormat="1" applyFont="1" applyBorder="1" applyAlignment="1">
      <alignment horizontal="right"/>
    </xf>
    <xf numFmtId="164" fontId="2" fillId="0" borderId="36" xfId="0" applyNumberFormat="1" applyFont="1" applyBorder="1" applyAlignment="1">
      <alignment horizontal="right"/>
    </xf>
    <xf numFmtId="164" fontId="19" fillId="0" borderId="24" xfId="0" applyNumberFormat="1" applyFont="1" applyBorder="1"/>
    <xf numFmtId="164" fontId="19" fillId="0" borderId="36" xfId="0" applyNumberFormat="1" applyFont="1" applyBorder="1"/>
    <xf numFmtId="176" fontId="19" fillId="0" borderId="24" xfId="0" applyNumberFormat="1" applyFont="1" applyBorder="1"/>
    <xf numFmtId="176" fontId="19" fillId="0" borderId="36" xfId="0" applyNumberFormat="1" applyFont="1" applyBorder="1"/>
    <xf numFmtId="164" fontId="9" fillId="0" borderId="16" xfId="0" quotePrefix="1" applyNumberFormat="1" applyFont="1" applyBorder="1" applyAlignment="1">
      <alignment horizontal="center" vertical="center"/>
    </xf>
    <xf numFmtId="165" fontId="9" fillId="0" borderId="16" xfId="0" quotePrefix="1" applyNumberFormat="1" applyFont="1" applyBorder="1" applyAlignment="1">
      <alignment horizontal="center" vertical="center"/>
    </xf>
    <xf numFmtId="0" fontId="2" fillId="0" borderId="34" xfId="0" applyFont="1" applyBorder="1"/>
    <xf numFmtId="0" fontId="2" fillId="0" borderId="25" xfId="0" applyFont="1" applyBorder="1"/>
    <xf numFmtId="164" fontId="17" fillId="0" borderId="27" xfId="0" applyNumberFormat="1" applyFont="1" applyBorder="1" applyAlignment="1">
      <alignment horizontal="right"/>
    </xf>
    <xf numFmtId="164" fontId="17" fillId="0" borderId="26" xfId="0" applyNumberFormat="1" applyFont="1" applyBorder="1" applyAlignment="1">
      <alignment horizontal="right"/>
    </xf>
    <xf numFmtId="0" fontId="17" fillId="0" borderId="26" xfId="0" applyFont="1" applyBorder="1" applyAlignment="1">
      <alignment horizontal="right"/>
    </xf>
    <xf numFmtId="3" fontId="17" fillId="0" borderId="26" xfId="0" applyNumberFormat="1" applyFont="1" applyBorder="1" applyAlignment="1">
      <alignment horizontal="right"/>
    </xf>
    <xf numFmtId="165" fontId="17" fillId="0" borderId="26" xfId="0" applyNumberFormat="1" applyFont="1" applyBorder="1" applyAlignment="1">
      <alignment horizontal="right"/>
    </xf>
    <xf numFmtId="0" fontId="2" fillId="0" borderId="25" xfId="0" applyFont="1" applyBorder="1" applyAlignment="1">
      <alignment horizontal="right"/>
    </xf>
    <xf numFmtId="3" fontId="19" fillId="0" borderId="25" xfId="0" applyNumberFormat="1" applyFont="1" applyBorder="1"/>
    <xf numFmtId="164" fontId="2" fillId="0" borderId="25" xfId="0" applyNumberFormat="1" applyFont="1" applyBorder="1" applyAlignment="1">
      <alignment horizontal="right"/>
    </xf>
    <xf numFmtId="2" fontId="39" fillId="0" borderId="8" xfId="0" applyNumberFormat="1" applyFont="1" applyBorder="1" applyAlignment="1">
      <alignment horizontal="right"/>
    </xf>
    <xf numFmtId="167" fontId="39" fillId="0" borderId="8" xfId="0" applyNumberFormat="1" applyFont="1" applyBorder="1" applyAlignment="1">
      <alignment horizontal="right"/>
    </xf>
    <xf numFmtId="0" fontId="39" fillId="0" borderId="8" xfId="0" applyFont="1" applyBorder="1" applyAlignment="1">
      <alignment horizontal="right"/>
    </xf>
    <xf numFmtId="167" fontId="50" fillId="0" borderId="8" xfId="0" applyNumberFormat="1" applyFont="1" applyBorder="1" applyAlignment="1">
      <alignment horizontal="right"/>
    </xf>
    <xf numFmtId="0" fontId="40" fillId="0" borderId="7" xfId="0" applyFont="1" applyBorder="1" applyAlignment="1">
      <alignment horizontal="left"/>
    </xf>
    <xf numFmtId="0" fontId="39" fillId="0" borderId="0" xfId="0" applyFont="1"/>
    <xf numFmtId="0" fontId="39" fillId="0" borderId="0" xfId="0" applyFont="1" applyAlignment="1">
      <alignment horizontal="right"/>
    </xf>
    <xf numFmtId="0" fontId="39" fillId="0" borderId="10" xfId="0" applyFont="1" applyBorder="1" applyAlignment="1">
      <alignment horizontal="right"/>
    </xf>
    <xf numFmtId="0" fontId="40" fillId="0" borderId="5" xfId="0" applyFont="1" applyBorder="1" applyAlignment="1">
      <alignment horizontal="left"/>
    </xf>
    <xf numFmtId="177" fontId="52" fillId="0" borderId="8" xfId="0" applyNumberFormat="1" applyFont="1" applyBorder="1"/>
    <xf numFmtId="0" fontId="40" fillId="0" borderId="9" xfId="0" applyFont="1" applyBorder="1" applyAlignment="1">
      <alignment horizontal="left"/>
    </xf>
    <xf numFmtId="177" fontId="40" fillId="0" borderId="10" xfId="0" applyNumberFormat="1" applyFont="1" applyBorder="1" applyAlignment="1">
      <alignment horizontal="right"/>
    </xf>
    <xf numFmtId="168" fontId="20" fillId="0" borderId="0" xfId="0" applyNumberFormat="1" applyFont="1"/>
    <xf numFmtId="168" fontId="39" fillId="0" borderId="8" xfId="0" applyNumberFormat="1" applyFont="1" applyBorder="1" applyAlignment="1">
      <alignment horizontal="right"/>
    </xf>
    <xf numFmtId="0" fontId="40" fillId="0" borderId="34" xfId="0" applyFont="1" applyBorder="1" applyAlignment="1">
      <alignment horizontal="left"/>
    </xf>
    <xf numFmtId="175" fontId="40" fillId="0" borderId="26" xfId="0" applyNumberFormat="1" applyFont="1" applyBorder="1" applyAlignment="1">
      <alignment horizontal="right"/>
    </xf>
    <xf numFmtId="10" fontId="39" fillId="0" borderId="8" xfId="0" applyNumberFormat="1" applyFont="1" applyBorder="1" applyAlignment="1">
      <alignment horizontal="right"/>
    </xf>
    <xf numFmtId="10" fontId="40" fillId="0" borderId="26" xfId="0" applyNumberFormat="1" applyFont="1" applyBorder="1" applyAlignment="1">
      <alignment horizontal="right"/>
    </xf>
    <xf numFmtId="0" fontId="39" fillId="0" borderId="9" xfId="0" applyFont="1" applyBorder="1" applyAlignment="1">
      <alignment horizontal="left"/>
    </xf>
    <xf numFmtId="10" fontId="39" fillId="0" borderId="10" xfId="0" applyNumberFormat="1" applyFont="1" applyBorder="1" applyAlignment="1">
      <alignment horizontal="right"/>
    </xf>
    <xf numFmtId="3" fontId="39" fillId="0" borderId="8" xfId="0" applyNumberFormat="1" applyFont="1" applyBorder="1" applyAlignment="1">
      <alignment horizontal="right"/>
    </xf>
    <xf numFmtId="167" fontId="53" fillId="0" borderId="8" xfId="0" applyNumberFormat="1" applyFont="1" applyBorder="1" applyAlignment="1">
      <alignment horizontal="right"/>
    </xf>
    <xf numFmtId="0" fontId="39" fillId="0" borderId="0" xfId="0" applyFont="1" applyAlignment="1">
      <alignment vertical="top"/>
    </xf>
    <xf numFmtId="0" fontId="39" fillId="0" borderId="5" xfId="0" applyFont="1" applyBorder="1" applyAlignment="1">
      <alignment horizontal="left"/>
    </xf>
    <xf numFmtId="10" fontId="39" fillId="0" borderId="6" xfId="0" applyNumberFormat="1" applyFont="1" applyBorder="1" applyAlignment="1">
      <alignment horizontal="right"/>
    </xf>
    <xf numFmtId="168" fontId="39" fillId="0" borderId="10" xfId="0" applyNumberFormat="1" applyFont="1" applyBorder="1" applyAlignment="1">
      <alignment horizontal="right"/>
    </xf>
    <xf numFmtId="0" fontId="14" fillId="0" borderId="0" xfId="0" applyFont="1" applyAlignment="1">
      <alignment vertical="center"/>
    </xf>
    <xf numFmtId="14" fontId="14" fillId="0" borderId="0" xfId="0" applyNumberFormat="1" applyFont="1" applyAlignment="1">
      <alignment vertical="center"/>
    </xf>
    <xf numFmtId="4" fontId="15" fillId="0" borderId="0" xfId="0" applyNumberFormat="1" applyFont="1" applyAlignment="1">
      <alignment horizontal="right" vertical="center"/>
    </xf>
    <xf numFmtId="10" fontId="14" fillId="0" borderId="0" xfId="0" applyNumberFormat="1" applyFont="1" applyAlignment="1">
      <alignment vertical="center"/>
    </xf>
    <xf numFmtId="0" fontId="15" fillId="0" borderId="0" xfId="0" applyFont="1" applyAlignment="1">
      <alignment vertical="center"/>
    </xf>
    <xf numFmtId="0" fontId="55" fillId="0" borderId="48" xfId="0" applyFont="1" applyBorder="1" applyAlignment="1">
      <alignment horizontal="center" vertical="center"/>
    </xf>
    <xf numFmtId="0" fontId="14" fillId="0" borderId="5" xfId="0" applyFont="1" applyBorder="1" applyAlignment="1">
      <alignment vertical="center"/>
    </xf>
    <xf numFmtId="168" fontId="14" fillId="0" borderId="6" xfId="0" applyNumberFormat="1" applyFont="1" applyBorder="1" applyAlignment="1">
      <alignment vertical="center"/>
    </xf>
    <xf numFmtId="0" fontId="14" fillId="0" borderId="7" xfId="0" applyFont="1" applyBorder="1" applyAlignment="1">
      <alignment vertical="center"/>
    </xf>
    <xf numFmtId="168" fontId="14" fillId="0" borderId="8" xfId="0" applyNumberFormat="1" applyFont="1" applyBorder="1" applyAlignment="1">
      <alignment vertical="center"/>
    </xf>
    <xf numFmtId="0" fontId="14" fillId="0" borderId="50" xfId="0" applyFont="1" applyBorder="1" applyAlignment="1">
      <alignment vertical="center"/>
    </xf>
    <xf numFmtId="0" fontId="14" fillId="0" borderId="51" xfId="0" applyFont="1" applyBorder="1" applyAlignment="1">
      <alignment vertical="center"/>
    </xf>
    <xf numFmtId="0" fontId="55" fillId="0" borderId="52" xfId="0" applyFont="1" applyBorder="1" applyAlignment="1">
      <alignment horizontal="center" vertical="center"/>
    </xf>
    <xf numFmtId="0" fontId="55" fillId="0" borderId="49" xfId="0" applyFont="1" applyBorder="1" applyAlignment="1">
      <alignment horizontal="center" vertical="center"/>
    </xf>
    <xf numFmtId="178" fontId="14" fillId="0" borderId="0" xfId="0" applyNumberFormat="1" applyFont="1" applyAlignment="1">
      <alignment vertical="center"/>
    </xf>
    <xf numFmtId="179" fontId="14" fillId="0" borderId="0" xfId="0" applyNumberFormat="1" applyFont="1" applyAlignment="1">
      <alignment vertical="center"/>
    </xf>
    <xf numFmtId="0" fontId="14" fillId="0" borderId="8" xfId="0" applyFont="1" applyBorder="1" applyAlignment="1">
      <alignment vertical="center"/>
    </xf>
    <xf numFmtId="0" fontId="14" fillId="0" borderId="53" xfId="0" applyFont="1" applyBorder="1" applyAlignment="1">
      <alignment vertical="center"/>
    </xf>
    <xf numFmtId="178" fontId="14" fillId="0" borderId="53" xfId="0" applyNumberFormat="1" applyFont="1" applyBorder="1" applyAlignment="1">
      <alignment vertical="center"/>
    </xf>
    <xf numFmtId="180" fontId="14" fillId="0" borderId="0" xfId="0" applyNumberFormat="1" applyFont="1" applyAlignment="1">
      <alignment vertical="center"/>
    </xf>
    <xf numFmtId="180" fontId="14" fillId="0" borderId="54" xfId="0" applyNumberFormat="1" applyFont="1" applyBorder="1" applyAlignment="1">
      <alignment vertical="center"/>
    </xf>
    <xf numFmtId="180" fontId="14" fillId="8" borderId="55" xfId="0" applyNumberFormat="1" applyFont="1" applyFill="1" applyBorder="1" applyAlignment="1">
      <alignment vertical="center"/>
    </xf>
    <xf numFmtId="180" fontId="14" fillId="0" borderId="53" xfId="0" applyNumberFormat="1" applyFont="1" applyBorder="1" applyAlignment="1">
      <alignment vertical="center"/>
    </xf>
    <xf numFmtId="180" fontId="14" fillId="0" borderId="56" xfId="0" applyNumberFormat="1" applyFont="1" applyBorder="1" applyAlignment="1">
      <alignment vertical="center"/>
    </xf>
    <xf numFmtId="4" fontId="15" fillId="0" borderId="0" xfId="0" applyNumberFormat="1" applyFont="1" applyAlignment="1">
      <alignment horizontal="right"/>
    </xf>
    <xf numFmtId="3" fontId="15" fillId="0" borderId="0" xfId="0" applyNumberFormat="1" applyFont="1" applyAlignment="1">
      <alignment horizontal="right"/>
    </xf>
    <xf numFmtId="14" fontId="15" fillId="0" borderId="0" xfId="0" applyNumberFormat="1" applyFont="1" applyAlignment="1">
      <alignment vertical="center"/>
    </xf>
    <xf numFmtId="10" fontId="20" fillId="0" borderId="0" xfId="0" applyNumberFormat="1" applyFont="1"/>
    <xf numFmtId="0" fontId="40" fillId="0" borderId="0" xfId="0" applyFont="1"/>
    <xf numFmtId="10" fontId="39" fillId="0" borderId="0" xfId="0" applyNumberFormat="1" applyFont="1" applyAlignment="1">
      <alignment horizontal="right"/>
    </xf>
    <xf numFmtId="0" fontId="39" fillId="0" borderId="57" xfId="0" applyFont="1" applyBorder="1"/>
    <xf numFmtId="0" fontId="39" fillId="0" borderId="60" xfId="0" applyFont="1" applyBorder="1" applyAlignment="1">
      <alignment horizontal="left"/>
    </xf>
    <xf numFmtId="4" fontId="39" fillId="0" borderId="61" xfId="0" applyNumberFormat="1" applyFont="1" applyBorder="1" applyAlignment="1">
      <alignment horizontal="right"/>
    </xf>
    <xf numFmtId="4" fontId="39" fillId="0" borderId="62" xfId="0" applyNumberFormat="1" applyFont="1" applyBorder="1" applyAlignment="1">
      <alignment horizontal="right"/>
    </xf>
    <xf numFmtId="0" fontId="39" fillId="0" borderId="58" xfId="0" applyFont="1" applyBorder="1" applyAlignment="1">
      <alignment horizontal="right"/>
    </xf>
    <xf numFmtId="0" fontId="39" fillId="0" borderId="59" xfId="0" applyFont="1" applyBorder="1" applyAlignment="1">
      <alignment horizontal="right"/>
    </xf>
    <xf numFmtId="0" fontId="39" fillId="0" borderId="61" xfId="0" applyFont="1" applyBorder="1" applyAlignment="1">
      <alignment horizontal="left"/>
    </xf>
    <xf numFmtId="0" fontId="39" fillId="0" borderId="62" xfId="0" applyFont="1" applyBorder="1" applyAlignment="1">
      <alignment horizontal="left"/>
    </xf>
    <xf numFmtId="0" fontId="39" fillId="0" borderId="63" xfId="0" applyFont="1" applyBorder="1" applyAlignment="1">
      <alignment horizontal="left"/>
    </xf>
    <xf numFmtId="0" fontId="39" fillId="0" borderId="64" xfId="0" applyFont="1" applyBorder="1" applyAlignment="1">
      <alignment horizontal="left"/>
    </xf>
    <xf numFmtId="0" fontId="39" fillId="0" borderId="65" xfId="0" applyFont="1" applyBorder="1" applyAlignment="1">
      <alignment horizontal="left"/>
    </xf>
    <xf numFmtId="0" fontId="51" fillId="0" borderId="0" xfId="0" applyFont="1" applyAlignment="1">
      <alignment horizontal="center"/>
    </xf>
    <xf numFmtId="14" fontId="15" fillId="0" borderId="0" xfId="0" applyNumberFormat="1" applyFont="1" applyAlignment="1">
      <alignment horizontal="right"/>
    </xf>
    <xf numFmtId="0" fontId="15" fillId="0" borderId="0" xfId="0" applyFont="1" applyAlignment="1">
      <alignment horizontal="right"/>
    </xf>
    <xf numFmtId="180" fontId="20" fillId="0" borderId="0" xfId="0" applyNumberFormat="1" applyFont="1"/>
    <xf numFmtId="0" fontId="39" fillId="0" borderId="0" xfId="0" applyFont="1" applyAlignment="1">
      <alignment horizontal="center"/>
    </xf>
    <xf numFmtId="14" fontId="39" fillId="0" borderId="0" xfId="0" applyNumberFormat="1" applyFont="1" applyAlignment="1">
      <alignment horizontal="center"/>
    </xf>
    <xf numFmtId="43" fontId="39" fillId="0" borderId="0" xfId="0" applyNumberFormat="1" applyFont="1" applyAlignment="1">
      <alignment horizontal="center"/>
    </xf>
    <xf numFmtId="43" fontId="39" fillId="0" borderId="0" xfId="0" applyNumberFormat="1" applyFont="1" applyAlignment="1">
      <alignment horizontal="center" vertical="center"/>
    </xf>
    <xf numFmtId="0" fontId="39" fillId="0" borderId="69" xfId="0" applyFont="1" applyBorder="1"/>
    <xf numFmtId="43" fontId="39" fillId="0" borderId="58" xfId="0" applyNumberFormat="1" applyFont="1" applyBorder="1" applyAlignment="1">
      <alignment horizontal="right"/>
    </xf>
    <xf numFmtId="169" fontId="39" fillId="0" borderId="58" xfId="0" applyNumberFormat="1" applyFont="1" applyBorder="1"/>
    <xf numFmtId="0" fontId="39" fillId="0" borderId="70" xfId="0" applyFont="1" applyBorder="1" applyAlignment="1">
      <alignment horizontal="right"/>
    </xf>
    <xf numFmtId="0" fontId="39" fillId="9" borderId="71" xfId="0" applyFont="1" applyFill="1" applyBorder="1"/>
    <xf numFmtId="0" fontId="39" fillId="0" borderId="61" xfId="0" applyFont="1" applyBorder="1" applyAlignment="1">
      <alignment horizontal="right"/>
    </xf>
    <xf numFmtId="0" fontId="39" fillId="0" borderId="61" xfId="0" applyFont="1" applyBorder="1"/>
    <xf numFmtId="0" fontId="39" fillId="0" borderId="72" xfId="0" applyFont="1" applyBorder="1" applyAlignment="1">
      <alignment horizontal="right"/>
    </xf>
    <xf numFmtId="0" fontId="40" fillId="0" borderId="73" xfId="0" applyFont="1" applyBorder="1"/>
    <xf numFmtId="0" fontId="39" fillId="0" borderId="74" xfId="0" applyFont="1" applyBorder="1"/>
    <xf numFmtId="0" fontId="27" fillId="0" borderId="18" xfId="0" applyFont="1" applyBorder="1"/>
    <xf numFmtId="182" fontId="20" fillId="0" borderId="7" xfId="0" applyNumberFormat="1" applyFont="1" applyBorder="1"/>
    <xf numFmtId="182" fontId="20" fillId="0" borderId="0" xfId="0" applyNumberFormat="1" applyFont="1"/>
    <xf numFmtId="182" fontId="20" fillId="0" borderId="8" xfId="0" applyNumberFormat="1" applyFont="1" applyBorder="1"/>
    <xf numFmtId="0" fontId="39" fillId="0" borderId="27" xfId="0" applyFont="1" applyBorder="1"/>
    <xf numFmtId="0" fontId="39" fillId="0" borderId="27" xfId="0" applyFont="1" applyBorder="1" applyAlignment="1">
      <alignment horizontal="right"/>
    </xf>
    <xf numFmtId="0" fontId="27" fillId="0" borderId="24" xfId="0" applyFont="1" applyBorder="1"/>
    <xf numFmtId="165" fontId="20" fillId="0" borderId="36" xfId="0" applyNumberFormat="1" applyFont="1" applyBorder="1"/>
    <xf numFmtId="165" fontId="20" fillId="0" borderId="9" xfId="0" applyNumberFormat="1" applyFont="1" applyBorder="1"/>
    <xf numFmtId="165" fontId="20" fillId="0" borderId="10" xfId="0" applyNumberFormat="1" applyFont="1" applyBorder="1"/>
    <xf numFmtId="10" fontId="39" fillId="0" borderId="27" xfId="0" applyNumberFormat="1" applyFont="1" applyBorder="1" applyAlignment="1">
      <alignment horizontal="right"/>
    </xf>
    <xf numFmtId="0" fontId="58" fillId="0" borderId="0" xfId="0" applyFont="1" applyAlignment="1">
      <alignment horizontal="center"/>
    </xf>
    <xf numFmtId="4" fontId="20" fillId="0" borderId="8" xfId="0" applyNumberFormat="1" applyFont="1" applyBorder="1"/>
    <xf numFmtId="4" fontId="39" fillId="0" borderId="0" xfId="0" applyNumberFormat="1" applyFont="1" applyAlignment="1">
      <alignment horizontal="right"/>
    </xf>
    <xf numFmtId="4" fontId="39" fillId="0" borderId="8" xfId="0" applyNumberFormat="1" applyFont="1" applyBorder="1" applyAlignment="1">
      <alignment horizontal="right"/>
    </xf>
    <xf numFmtId="0" fontId="20" fillId="0" borderId="36" xfId="0" applyFont="1" applyBorder="1"/>
    <xf numFmtId="4" fontId="20" fillId="0" borderId="10" xfId="0" applyNumberFormat="1" applyFont="1" applyBorder="1"/>
    <xf numFmtId="0" fontId="38" fillId="0" borderId="0" xfId="0" applyFont="1"/>
    <xf numFmtId="0" fontId="38" fillId="0" borderId="0" xfId="0" applyFont="1" applyAlignment="1">
      <alignment horizontal="center"/>
    </xf>
    <xf numFmtId="10" fontId="39" fillId="0" borderId="36" xfId="0" applyNumberFormat="1" applyFont="1" applyBorder="1" applyAlignment="1">
      <alignment horizontal="right"/>
    </xf>
    <xf numFmtId="4" fontId="39" fillId="0" borderId="36" xfId="0" applyNumberFormat="1" applyFont="1" applyBorder="1" applyAlignment="1">
      <alignment horizontal="right"/>
    </xf>
    <xf numFmtId="4" fontId="39" fillId="0" borderId="10" xfId="0" applyNumberFormat="1" applyFont="1" applyBorder="1" applyAlignment="1">
      <alignment horizontal="right"/>
    </xf>
    <xf numFmtId="0" fontId="39" fillId="0" borderId="7" xfId="0" applyFont="1" applyBorder="1"/>
    <xf numFmtId="0" fontId="40" fillId="0" borderId="7" xfId="0" applyFont="1" applyBorder="1"/>
    <xf numFmtId="169" fontId="39" fillId="0" borderId="8" xfId="0" applyNumberFormat="1" applyFont="1" applyBorder="1"/>
    <xf numFmtId="0" fontId="20" fillId="0" borderId="27" xfId="0" applyFont="1" applyBorder="1"/>
    <xf numFmtId="0" fontId="40" fillId="0" borderId="24" xfId="0" applyFont="1" applyBorder="1"/>
    <xf numFmtId="0" fontId="40" fillId="0" borderId="10" xfId="0" applyFont="1" applyBorder="1"/>
    <xf numFmtId="0" fontId="64" fillId="0" borderId="0" xfId="0" applyFont="1"/>
    <xf numFmtId="0" fontId="39" fillId="0" borderId="24" xfId="0" applyFont="1" applyBorder="1"/>
    <xf numFmtId="2" fontId="20" fillId="0" borderId="27" xfId="0" applyNumberFormat="1" applyFont="1" applyBorder="1"/>
    <xf numFmtId="2" fontId="39" fillId="0" borderId="10" xfId="0" applyNumberFormat="1" applyFont="1" applyBorder="1" applyAlignment="1">
      <alignment horizontal="right"/>
    </xf>
    <xf numFmtId="2" fontId="20" fillId="0" borderId="27" xfId="0" applyNumberFormat="1" applyFont="1" applyBorder="1" applyAlignment="1">
      <alignment horizontal="center"/>
    </xf>
    <xf numFmtId="0" fontId="52" fillId="0" borderId="27" xfId="0" applyFont="1" applyBorder="1" applyAlignment="1">
      <alignment horizontal="left"/>
    </xf>
    <xf numFmtId="0" fontId="6" fillId="0" borderId="0" xfId="0" applyFont="1" applyAlignment="1">
      <alignment horizontal="center"/>
    </xf>
    <xf numFmtId="0" fontId="17" fillId="0" borderId="10" xfId="0" applyFont="1" applyBorder="1"/>
    <xf numFmtId="0" fontId="38" fillId="0" borderId="10" xfId="0" applyFont="1" applyBorder="1" applyAlignment="1">
      <alignment horizontal="right"/>
    </xf>
    <xf numFmtId="0" fontId="2" fillId="0" borderId="10" xfId="0" applyFont="1" applyBorder="1" applyAlignment="1">
      <alignment horizontal="right"/>
    </xf>
    <xf numFmtId="0" fontId="15" fillId="0" borderId="27" xfId="0" applyFont="1" applyBorder="1" applyAlignment="1">
      <alignment horizontal="right"/>
    </xf>
    <xf numFmtId="0" fontId="14" fillId="0" borderId="27" xfId="0" applyFont="1" applyBorder="1" applyAlignment="1">
      <alignment vertical="top"/>
    </xf>
    <xf numFmtId="0" fontId="15" fillId="0" borderId="0" xfId="0" applyFont="1" applyAlignment="1">
      <alignment horizontal="center"/>
    </xf>
    <xf numFmtId="177" fontId="20" fillId="0" borderId="8" xfId="0" applyNumberFormat="1" applyFont="1" applyBorder="1"/>
    <xf numFmtId="0" fontId="39" fillId="0" borderId="9" xfId="0" applyFont="1" applyBorder="1"/>
    <xf numFmtId="0" fontId="20" fillId="0" borderId="10" xfId="0" applyFont="1" applyBorder="1"/>
    <xf numFmtId="10" fontId="20" fillId="0" borderId="8" xfId="0" applyNumberFormat="1" applyFont="1" applyBorder="1"/>
    <xf numFmtId="0" fontId="2" fillId="0" borderId="36" xfId="0" applyFont="1" applyBorder="1"/>
    <xf numFmtId="10" fontId="20" fillId="0" borderId="10" xfId="0" applyNumberFormat="1" applyFont="1" applyBorder="1"/>
    <xf numFmtId="169" fontId="39" fillId="0" borderId="0" xfId="0" applyNumberFormat="1" applyFont="1"/>
    <xf numFmtId="169" fontId="20" fillId="0" borderId="8" xfId="0" applyNumberFormat="1" applyFont="1" applyBorder="1"/>
    <xf numFmtId="170" fontId="39" fillId="0" borderId="0" xfId="0" applyNumberFormat="1" applyFont="1"/>
    <xf numFmtId="177" fontId="39" fillId="0" borderId="0" xfId="0" applyNumberFormat="1" applyFont="1"/>
    <xf numFmtId="0" fontId="20" fillId="0" borderId="9" xfId="0" applyFont="1" applyBorder="1"/>
    <xf numFmtId="10" fontId="20" fillId="0" borderId="36" xfId="0" applyNumberFormat="1" applyFont="1" applyBorder="1"/>
    <xf numFmtId="0" fontId="20" fillId="0" borderId="7" xfId="0" applyFont="1" applyBorder="1"/>
    <xf numFmtId="0" fontId="15" fillId="0" borderId="7" xfId="0" applyFont="1" applyBorder="1" applyAlignment="1">
      <alignment horizontal="right"/>
    </xf>
    <xf numFmtId="10" fontId="15" fillId="0" borderId="0" xfId="0" applyNumberFormat="1" applyFont="1" applyAlignment="1">
      <alignment horizontal="right"/>
    </xf>
    <xf numFmtId="10" fontId="71" fillId="0" borderId="0" xfId="0" applyNumberFormat="1" applyFont="1"/>
    <xf numFmtId="9" fontId="20" fillId="0" borderId="8" xfId="0" applyNumberFormat="1" applyFont="1" applyBorder="1"/>
    <xf numFmtId="0" fontId="14" fillId="0" borderId="7" xfId="0" applyFont="1" applyBorder="1" applyAlignment="1">
      <alignment horizontal="center"/>
    </xf>
    <xf numFmtId="10" fontId="14" fillId="0" borderId="8" xfId="0" applyNumberFormat="1" applyFont="1" applyBorder="1"/>
    <xf numFmtId="0" fontId="19" fillId="0" borderId="0" xfId="0" applyFont="1"/>
    <xf numFmtId="183" fontId="20" fillId="0" borderId="0" xfId="0" applyNumberFormat="1" applyFont="1"/>
    <xf numFmtId="184" fontId="20" fillId="0" borderId="0" xfId="0" applyNumberFormat="1" applyFont="1"/>
    <xf numFmtId="0" fontId="14" fillId="0" borderId="9" xfId="0" applyFont="1" applyBorder="1"/>
    <xf numFmtId="10" fontId="14" fillId="0" borderId="36" xfId="0" applyNumberFormat="1" applyFont="1" applyBorder="1"/>
    <xf numFmtId="10" fontId="14" fillId="0" borderId="10" xfId="0" applyNumberFormat="1" applyFont="1" applyBorder="1"/>
    <xf numFmtId="0" fontId="19" fillId="0" borderId="7" xfId="0" applyFont="1" applyBorder="1"/>
    <xf numFmtId="0" fontId="19" fillId="0" borderId="8" xfId="0" applyFont="1" applyBorder="1"/>
    <xf numFmtId="0" fontId="74" fillId="0" borderId="0" xfId="0" applyFont="1" applyAlignment="1">
      <alignment horizontal="right"/>
    </xf>
    <xf numFmtId="0" fontId="74" fillId="0" borderId="8" xfId="0" applyFont="1" applyBorder="1" applyAlignment="1">
      <alignment horizontal="right"/>
    </xf>
    <xf numFmtId="10" fontId="19" fillId="0" borderId="0" xfId="0" applyNumberFormat="1" applyFont="1"/>
    <xf numFmtId="170" fontId="19" fillId="0" borderId="0" xfId="0" applyNumberFormat="1" applyFont="1"/>
    <xf numFmtId="0" fontId="19" fillId="10" borderId="0" xfId="0" applyFont="1" applyFill="1"/>
    <xf numFmtId="0" fontId="19" fillId="11" borderId="0" xfId="0" applyFont="1" applyFill="1"/>
    <xf numFmtId="0" fontId="19" fillId="12" borderId="0" xfId="0" applyFont="1" applyFill="1"/>
    <xf numFmtId="0" fontId="19" fillId="13" borderId="0" xfId="0" applyFont="1" applyFill="1"/>
    <xf numFmtId="2" fontId="19" fillId="0" borderId="0" xfId="0" applyNumberFormat="1" applyFont="1"/>
    <xf numFmtId="0" fontId="74" fillId="0" borderId="36" xfId="0" applyFont="1" applyBorder="1" applyAlignment="1">
      <alignment horizontal="right"/>
    </xf>
    <xf numFmtId="0" fontId="74" fillId="0" borderId="10" xfId="0" applyFont="1" applyBorder="1" applyAlignment="1">
      <alignment horizontal="right"/>
    </xf>
    <xf numFmtId="172" fontId="19" fillId="0" borderId="0" xfId="0" applyNumberFormat="1" applyFont="1"/>
    <xf numFmtId="172" fontId="19" fillId="0" borderId="8" xfId="0" applyNumberFormat="1" applyFont="1" applyBorder="1"/>
    <xf numFmtId="0" fontId="19" fillId="0" borderId="9" xfId="0" applyFont="1" applyBorder="1"/>
    <xf numFmtId="172" fontId="19" fillId="0" borderId="36" xfId="0" applyNumberFormat="1" applyFont="1" applyBorder="1"/>
    <xf numFmtId="172" fontId="19" fillId="0" borderId="10" xfId="0" applyNumberFormat="1" applyFont="1" applyBorder="1"/>
    <xf numFmtId="0" fontId="19" fillId="0" borderId="5" xfId="0" applyFont="1" applyBorder="1"/>
    <xf numFmtId="0" fontId="19" fillId="0" borderId="20" xfId="0" applyFont="1" applyBorder="1"/>
    <xf numFmtId="0" fontId="19" fillId="0" borderId="36" xfId="0" applyFont="1" applyBorder="1"/>
    <xf numFmtId="0" fontId="19" fillId="0" borderId="6" xfId="0" applyFont="1" applyBorder="1"/>
    <xf numFmtId="168" fontId="19" fillId="0" borderId="0" xfId="0" applyNumberFormat="1" applyFont="1"/>
    <xf numFmtId="168" fontId="19" fillId="0" borderId="8" xfId="0" applyNumberFormat="1" applyFont="1" applyBorder="1"/>
    <xf numFmtId="185" fontId="19" fillId="0" borderId="0" xfId="0" applyNumberFormat="1" applyFont="1"/>
    <xf numFmtId="168" fontId="19" fillId="0" borderId="36" xfId="0" applyNumberFormat="1" applyFont="1" applyBorder="1"/>
    <xf numFmtId="168" fontId="19" fillId="0" borderId="10" xfId="0" applyNumberFormat="1" applyFont="1" applyBorder="1"/>
    <xf numFmtId="4" fontId="19" fillId="0" borderId="0" xfId="0" applyNumberFormat="1" applyFont="1"/>
    <xf numFmtId="0" fontId="14" fillId="0" borderId="0" xfId="0" applyFont="1" applyAlignment="1">
      <alignment horizontal="center"/>
    </xf>
    <xf numFmtId="170" fontId="14" fillId="0" borderId="0" xfId="0" applyNumberFormat="1" applyFont="1"/>
    <xf numFmtId="10" fontId="19" fillId="0" borderId="8" xfId="0" applyNumberFormat="1" applyFont="1" applyBorder="1"/>
    <xf numFmtId="0" fontId="19" fillId="0" borderId="10" xfId="0" applyFont="1" applyBorder="1"/>
    <xf numFmtId="10" fontId="19" fillId="0" borderId="36" xfId="0" applyNumberFormat="1" applyFont="1" applyBorder="1"/>
    <xf numFmtId="167" fontId="9" fillId="14" borderId="8" xfId="0" applyNumberFormat="1" applyFont="1" applyFill="1" applyBorder="1"/>
    <xf numFmtId="167" fontId="11" fillId="14" borderId="8" xfId="0" applyNumberFormat="1" applyFont="1" applyFill="1" applyBorder="1"/>
    <xf numFmtId="168" fontId="9" fillId="14" borderId="8" xfId="0" applyNumberFormat="1" applyFont="1" applyFill="1" applyBorder="1"/>
    <xf numFmtId="0" fontId="6" fillId="14" borderId="10" xfId="0" applyFont="1" applyFill="1" applyBorder="1"/>
    <xf numFmtId="0" fontId="12" fillId="14" borderId="9" xfId="0" applyFont="1" applyFill="1" applyBorder="1" applyAlignment="1">
      <alignment horizontal="left"/>
    </xf>
    <xf numFmtId="164" fontId="9" fillId="14" borderId="14" xfId="0" quotePrefix="1" applyNumberFormat="1" applyFont="1" applyFill="1" applyBorder="1" applyAlignment="1">
      <alignment horizontal="center" vertical="center"/>
    </xf>
    <xf numFmtId="0" fontId="9" fillId="14" borderId="14" xfId="0" quotePrefix="1" applyFont="1" applyFill="1" applyBorder="1" applyAlignment="1">
      <alignment horizontal="center" vertical="center"/>
    </xf>
    <xf numFmtId="165" fontId="9" fillId="14" borderId="14" xfId="0" quotePrefix="1" applyNumberFormat="1" applyFont="1" applyFill="1" applyBorder="1" applyAlignment="1">
      <alignment horizontal="center" vertical="center"/>
    </xf>
    <xf numFmtId="164" fontId="9" fillId="14" borderId="14" xfId="0" quotePrefix="1" applyNumberFormat="1" applyFont="1" applyFill="1" applyBorder="1" applyAlignment="1">
      <alignment horizontal="right"/>
    </xf>
    <xf numFmtId="164" fontId="9" fillId="14" borderId="15" xfId="0" quotePrefix="1" applyNumberFormat="1" applyFont="1" applyFill="1" applyBorder="1" applyAlignment="1">
      <alignment horizontal="center" vertical="center"/>
    </xf>
    <xf numFmtId="165" fontId="9" fillId="14" borderId="15" xfId="0" quotePrefix="1" applyNumberFormat="1" applyFont="1" applyFill="1" applyBorder="1" applyAlignment="1">
      <alignment horizontal="center" vertical="center"/>
    </xf>
    <xf numFmtId="0" fontId="9" fillId="14" borderId="15" xfId="0" quotePrefix="1" applyFont="1" applyFill="1" applyBorder="1" applyAlignment="1">
      <alignment horizontal="right"/>
    </xf>
    <xf numFmtId="0" fontId="6" fillId="15" borderId="14" xfId="0" quotePrefix="1" applyFont="1" applyFill="1" applyBorder="1" applyAlignment="1">
      <alignment horizontal="right"/>
    </xf>
    <xf numFmtId="164" fontId="9" fillId="16" borderId="14" xfId="0" quotePrefix="1" applyNumberFormat="1" applyFont="1" applyFill="1" applyBorder="1" applyAlignment="1">
      <alignment horizontal="right"/>
    </xf>
    <xf numFmtId="0" fontId="6" fillId="16" borderId="15" xfId="0" quotePrefix="1" applyFont="1" applyFill="1" applyBorder="1" applyAlignment="1">
      <alignment horizontal="right"/>
    </xf>
    <xf numFmtId="0" fontId="6" fillId="16" borderId="16" xfId="0" quotePrefix="1" applyFont="1" applyFill="1" applyBorder="1" applyAlignment="1">
      <alignment horizontal="right"/>
    </xf>
    <xf numFmtId="0" fontId="9" fillId="16" borderId="15" xfId="0" quotePrefix="1" applyFont="1" applyFill="1" applyBorder="1" applyAlignment="1">
      <alignment horizontal="right"/>
    </xf>
    <xf numFmtId="0" fontId="9" fillId="16" borderId="16" xfId="0" quotePrefix="1" applyFont="1" applyFill="1" applyBorder="1" applyAlignment="1">
      <alignment horizontal="right"/>
    </xf>
    <xf numFmtId="0" fontId="9" fillId="16" borderId="17" xfId="0" quotePrefix="1" applyFont="1" applyFill="1" applyBorder="1" applyAlignment="1">
      <alignment horizontal="right"/>
    </xf>
    <xf numFmtId="169" fontId="2" fillId="17" borderId="14" xfId="0" applyNumberFormat="1" applyFont="1" applyFill="1" applyBorder="1" applyAlignment="1">
      <alignment horizontal="right"/>
    </xf>
    <xf numFmtId="169" fontId="2" fillId="18" borderId="15" xfId="0" applyNumberFormat="1" applyFont="1" applyFill="1" applyBorder="1" applyAlignment="1">
      <alignment horizontal="right"/>
    </xf>
    <xf numFmtId="169" fontId="17" fillId="18" borderId="14" xfId="0" applyNumberFormat="1" applyFont="1" applyFill="1" applyBorder="1" applyAlignment="1">
      <alignment horizontal="right"/>
    </xf>
    <xf numFmtId="169" fontId="17" fillId="18" borderId="15" xfId="0" applyNumberFormat="1" applyFont="1" applyFill="1" applyBorder="1" applyAlignment="1">
      <alignment horizontal="right"/>
    </xf>
    <xf numFmtId="169" fontId="2" fillId="18" borderId="15" xfId="0" applyNumberFormat="1" applyFont="1" applyFill="1" applyBorder="1"/>
    <xf numFmtId="169" fontId="17" fillId="18" borderId="23" xfId="0" applyNumberFormat="1" applyFont="1" applyFill="1" applyBorder="1" applyAlignment="1">
      <alignment horizontal="right"/>
    </xf>
    <xf numFmtId="43" fontId="17" fillId="18" borderId="17" xfId="0" applyNumberFormat="1" applyFont="1" applyFill="1" applyBorder="1" applyAlignment="1">
      <alignment horizontal="right"/>
    </xf>
    <xf numFmtId="9" fontId="2" fillId="18" borderId="15" xfId="0" applyNumberFormat="1" applyFont="1" applyFill="1" applyBorder="1" applyAlignment="1">
      <alignment horizontal="right"/>
    </xf>
    <xf numFmtId="164" fontId="9" fillId="14" borderId="29" xfId="0" quotePrefix="1" applyNumberFormat="1" applyFont="1" applyFill="1" applyBorder="1" applyAlignment="1">
      <alignment horizontal="center" vertical="center"/>
    </xf>
    <xf numFmtId="165" fontId="9" fillId="14" borderId="30" xfId="0" quotePrefix="1" applyNumberFormat="1" applyFont="1" applyFill="1" applyBorder="1" applyAlignment="1">
      <alignment horizontal="center" vertical="center"/>
    </xf>
    <xf numFmtId="164" fontId="9" fillId="14" borderId="31" xfId="0" quotePrefix="1" applyNumberFormat="1" applyFont="1" applyFill="1" applyBorder="1" applyAlignment="1">
      <alignment horizontal="center" vertical="center"/>
    </xf>
    <xf numFmtId="164" fontId="9" fillId="14" borderId="30" xfId="0" quotePrefix="1" applyNumberFormat="1" applyFont="1" applyFill="1" applyBorder="1" applyAlignment="1">
      <alignment horizontal="right"/>
    </xf>
    <xf numFmtId="164" fontId="9" fillId="16" borderId="19" xfId="0" quotePrefix="1" applyNumberFormat="1" applyFont="1" applyFill="1" applyBorder="1" applyAlignment="1">
      <alignment horizontal="right"/>
    </xf>
    <xf numFmtId="164" fontId="9" fillId="16" borderId="32" xfId="0" quotePrefix="1" applyNumberFormat="1" applyFont="1" applyFill="1" applyBorder="1" applyAlignment="1">
      <alignment horizontal="right"/>
    </xf>
    <xf numFmtId="164" fontId="9" fillId="16" borderId="6" xfId="0" quotePrefix="1" applyNumberFormat="1" applyFont="1" applyFill="1" applyBorder="1" applyAlignment="1">
      <alignment horizontal="right"/>
    </xf>
    <xf numFmtId="0" fontId="6" fillId="16" borderId="76" xfId="0" quotePrefix="1" applyFont="1" applyFill="1" applyBorder="1" applyAlignment="1">
      <alignment horizontal="right"/>
    </xf>
    <xf numFmtId="0" fontId="9" fillId="16" borderId="24" xfId="0" quotePrefix="1" applyFont="1" applyFill="1" applyBorder="1" applyAlignment="1">
      <alignment horizontal="right"/>
    </xf>
    <xf numFmtId="0" fontId="9" fillId="16" borderId="33" xfId="0" quotePrefix="1" applyFont="1" applyFill="1" applyBorder="1" applyAlignment="1">
      <alignment horizontal="right"/>
    </xf>
    <xf numFmtId="0" fontId="2" fillId="0" borderId="37" xfId="0" applyFont="1" applyBorder="1" applyAlignment="1">
      <alignment horizontal="left"/>
    </xf>
    <xf numFmtId="164" fontId="2" fillId="0" borderId="37" xfId="0" applyNumberFormat="1" applyFont="1" applyBorder="1" applyAlignment="1">
      <alignment horizontal="right"/>
    </xf>
    <xf numFmtId="165" fontId="2" fillId="0" borderId="37" xfId="0" applyNumberFormat="1" applyFont="1" applyBorder="1" applyAlignment="1">
      <alignment horizontal="right"/>
    </xf>
    <xf numFmtId="164" fontId="9" fillId="14" borderId="77" xfId="0" quotePrefix="1" applyNumberFormat="1" applyFont="1" applyFill="1" applyBorder="1" applyAlignment="1">
      <alignment horizontal="right"/>
    </xf>
    <xf numFmtId="165" fontId="9" fillId="14" borderId="77" xfId="0" quotePrefix="1" applyNumberFormat="1" applyFont="1" applyFill="1" applyBorder="1" applyAlignment="1">
      <alignment horizontal="right"/>
    </xf>
    <xf numFmtId="164" fontId="9" fillId="14" borderId="79" xfId="0" quotePrefix="1" applyNumberFormat="1" applyFont="1" applyFill="1" applyBorder="1" applyAlignment="1">
      <alignment horizontal="right"/>
    </xf>
    <xf numFmtId="0" fontId="0" fillId="0" borderId="37" xfId="0" applyBorder="1"/>
    <xf numFmtId="0" fontId="9" fillId="14" borderId="80" xfId="0" applyFont="1" applyFill="1" applyBorder="1" applyAlignment="1">
      <alignment horizontal="left"/>
    </xf>
    <xf numFmtId="0" fontId="9" fillId="14" borderId="81" xfId="0" applyFont="1" applyFill="1" applyBorder="1" applyAlignment="1">
      <alignment horizontal="left"/>
    </xf>
    <xf numFmtId="164" fontId="9" fillId="14" borderId="76" xfId="0" quotePrefix="1" applyNumberFormat="1" applyFont="1" applyFill="1" applyBorder="1" applyAlignment="1">
      <alignment horizontal="right"/>
    </xf>
    <xf numFmtId="165" fontId="9" fillId="14" borderId="76" xfId="0" quotePrefix="1" applyNumberFormat="1" applyFont="1" applyFill="1" applyBorder="1" applyAlignment="1">
      <alignment horizontal="right"/>
    </xf>
    <xf numFmtId="0" fontId="9" fillId="14" borderId="81" xfId="0" quotePrefix="1" applyFont="1" applyFill="1" applyBorder="1" applyAlignment="1">
      <alignment horizontal="right"/>
    </xf>
    <xf numFmtId="0" fontId="9" fillId="14" borderId="76" xfId="0" quotePrefix="1" applyFont="1" applyFill="1" applyBorder="1" applyAlignment="1">
      <alignment horizontal="right"/>
    </xf>
    <xf numFmtId="0" fontId="16" fillId="0" borderId="46" xfId="0" applyFont="1" applyBorder="1" applyAlignment="1">
      <alignment horizontal="left"/>
    </xf>
    <xf numFmtId="0" fontId="18" fillId="0" borderId="43" xfId="0" applyFont="1" applyBorder="1" applyAlignment="1">
      <alignment horizontal="left"/>
    </xf>
    <xf numFmtId="10" fontId="2" fillId="0" borderId="37" xfId="0" applyNumberFormat="1" applyFont="1" applyBorder="1" applyAlignment="1">
      <alignment horizontal="right"/>
    </xf>
    <xf numFmtId="10" fontId="2" fillId="0" borderId="43" xfId="0" applyNumberFormat="1" applyFont="1" applyBorder="1" applyAlignment="1">
      <alignment horizontal="right"/>
    </xf>
    <xf numFmtId="0" fontId="3" fillId="14" borderId="80" xfId="0" applyFont="1" applyFill="1" applyBorder="1" applyAlignment="1">
      <alignment horizontal="left"/>
    </xf>
    <xf numFmtId="0" fontId="3" fillId="14" borderId="81" xfId="0" applyFont="1" applyFill="1" applyBorder="1" applyAlignment="1">
      <alignment horizontal="left"/>
    </xf>
    <xf numFmtId="165" fontId="38" fillId="0" borderId="43" xfId="0" applyNumberFormat="1" applyFont="1" applyBorder="1" applyAlignment="1">
      <alignment horizontal="right"/>
    </xf>
    <xf numFmtId="165" fontId="15" fillId="0" borderId="18" xfId="0" applyNumberFormat="1" applyFont="1" applyBorder="1"/>
    <xf numFmtId="16" fontId="6" fillId="14" borderId="82" xfId="0" applyNumberFormat="1" applyFont="1" applyFill="1" applyBorder="1" applyAlignment="1">
      <alignment horizontal="right"/>
    </xf>
    <xf numFmtId="16" fontId="6" fillId="14" borderId="79" xfId="0" applyNumberFormat="1" applyFont="1" applyFill="1" applyBorder="1" applyAlignment="1">
      <alignment horizontal="right"/>
    </xf>
    <xf numFmtId="0" fontId="31" fillId="14" borderId="80" xfId="0" applyFont="1" applyFill="1" applyBorder="1"/>
    <xf numFmtId="0" fontId="15" fillId="14" borderId="83" xfId="0" applyFont="1" applyFill="1" applyBorder="1"/>
    <xf numFmtId="164" fontId="32" fillId="14" borderId="83" xfId="0" applyNumberFormat="1" applyFont="1" applyFill="1" applyBorder="1" applyAlignment="1">
      <alignment horizontal="right"/>
    </xf>
    <xf numFmtId="49" fontId="33" fillId="14" borderId="83" xfId="0" applyNumberFormat="1" applyFont="1" applyFill="1" applyBorder="1" applyAlignment="1">
      <alignment horizontal="right"/>
    </xf>
    <xf numFmtId="165" fontId="34" fillId="14" borderId="83" xfId="0" applyNumberFormat="1" applyFont="1" applyFill="1" applyBorder="1" applyAlignment="1">
      <alignment horizontal="right"/>
    </xf>
    <xf numFmtId="0" fontId="35" fillId="14" borderId="81" xfId="0" applyFont="1" applyFill="1" applyBorder="1" applyAlignment="1">
      <alignment horizontal="right"/>
    </xf>
    <xf numFmtId="0" fontId="36" fillId="14" borderId="83" xfId="0" applyFont="1" applyFill="1" applyBorder="1" applyAlignment="1">
      <alignment horizontal="right"/>
    </xf>
    <xf numFmtId="164" fontId="46" fillId="14" borderId="30" xfId="0" applyNumberFormat="1" applyFont="1" applyFill="1" applyBorder="1" applyAlignment="1">
      <alignment horizontal="center" vertical="center"/>
    </xf>
    <xf numFmtId="164" fontId="47" fillId="14" borderId="38" xfId="0" applyNumberFormat="1" applyFont="1" applyFill="1" applyBorder="1" applyAlignment="1">
      <alignment horizontal="center" vertical="center"/>
    </xf>
    <xf numFmtId="164" fontId="48" fillId="14" borderId="43" xfId="0" applyNumberFormat="1" applyFont="1" applyFill="1" applyBorder="1" applyAlignment="1">
      <alignment horizontal="center" vertical="center"/>
    </xf>
    <xf numFmtId="0" fontId="78" fillId="0" borderId="8" xfId="0" applyFont="1" applyBorder="1" applyAlignment="1">
      <alignment horizontal="right"/>
    </xf>
    <xf numFmtId="167" fontId="51" fillId="14" borderId="10" xfId="0" applyNumberFormat="1" applyFont="1" applyFill="1" applyBorder="1" applyAlignment="1">
      <alignment horizontal="right"/>
    </xf>
    <xf numFmtId="0" fontId="79" fillId="0" borderId="8" xfId="0" applyFont="1" applyBorder="1" applyAlignment="1">
      <alignment horizontal="right"/>
    </xf>
    <xf numFmtId="3" fontId="39" fillId="18" borderId="47" xfId="0" applyNumberFormat="1" applyFont="1" applyFill="1" applyBorder="1" applyAlignment="1">
      <alignment horizontal="right"/>
    </xf>
    <xf numFmtId="0" fontId="54" fillId="14" borderId="11" xfId="0" applyFont="1" applyFill="1" applyBorder="1" applyAlignment="1">
      <alignment horizontal="center" vertical="center"/>
    </xf>
    <xf numFmtId="0" fontId="56" fillId="14" borderId="0" xfId="0" applyFont="1" applyFill="1" applyAlignment="1">
      <alignment horizontal="center"/>
    </xf>
    <xf numFmtId="0" fontId="80" fillId="19" borderId="11" xfId="0" applyFont="1" applyFill="1" applyBorder="1"/>
    <xf numFmtId="0" fontId="57" fillId="18" borderId="84" xfId="0" applyFont="1" applyFill="1" applyBorder="1"/>
    <xf numFmtId="0" fontId="57" fillId="18" borderId="85" xfId="0" applyFont="1" applyFill="1" applyBorder="1"/>
    <xf numFmtId="181" fontId="57" fillId="18" borderId="87" xfId="0" applyNumberFormat="1" applyFont="1" applyFill="1" applyBorder="1" applyAlignment="1">
      <alignment horizontal="left" vertical="center"/>
    </xf>
    <xf numFmtId="10" fontId="57" fillId="18" borderId="89" xfId="0" applyNumberFormat="1" applyFont="1" applyFill="1" applyBorder="1" applyAlignment="1">
      <alignment horizontal="left" vertical="center"/>
    </xf>
    <xf numFmtId="0" fontId="57" fillId="18" borderId="91" xfId="0" applyFont="1" applyFill="1" applyBorder="1" applyAlignment="1">
      <alignment horizontal="left" vertical="center"/>
    </xf>
    <xf numFmtId="0" fontId="81" fillId="20" borderId="86" xfId="0" applyFont="1" applyFill="1" applyBorder="1" applyAlignment="1">
      <alignment horizontal="left" vertical="center"/>
    </xf>
    <xf numFmtId="0" fontId="81" fillId="20" borderId="88" xfId="0" applyFont="1" applyFill="1" applyBorder="1" applyAlignment="1">
      <alignment horizontal="left" vertical="center"/>
    </xf>
    <xf numFmtId="0" fontId="81" fillId="20" borderId="90" xfId="0" applyFont="1" applyFill="1" applyBorder="1" applyAlignment="1">
      <alignment horizontal="left" vertical="center"/>
    </xf>
    <xf numFmtId="0" fontId="58" fillId="14" borderId="92" xfId="0" applyFont="1" applyFill="1" applyBorder="1" applyAlignment="1">
      <alignment horizontal="center"/>
    </xf>
    <xf numFmtId="0" fontId="58" fillId="14" borderId="93" xfId="0" applyFont="1" applyFill="1" applyBorder="1" applyAlignment="1">
      <alignment horizontal="center"/>
    </xf>
    <xf numFmtId="0" fontId="58" fillId="14" borderId="94" xfId="0" applyFont="1" applyFill="1" applyBorder="1" applyAlignment="1">
      <alignment horizontal="center"/>
    </xf>
    <xf numFmtId="0" fontId="39" fillId="0" borderId="95" xfId="0" applyFont="1" applyBorder="1"/>
    <xf numFmtId="169" fontId="39" fillId="0" borderId="96" xfId="0" applyNumberFormat="1" applyFont="1" applyBorder="1" applyAlignment="1">
      <alignment horizontal="right"/>
    </xf>
    <xf numFmtId="169" fontId="39" fillId="0" borderId="97" xfId="0" applyNumberFormat="1" applyFont="1" applyBorder="1" applyAlignment="1">
      <alignment horizontal="right"/>
    </xf>
    <xf numFmtId="0" fontId="39" fillId="18" borderId="98" xfId="0" applyFont="1" applyFill="1" applyBorder="1"/>
    <xf numFmtId="0" fontId="39" fillId="18" borderId="99" xfId="0" applyFont="1" applyFill="1" applyBorder="1" applyAlignment="1">
      <alignment horizontal="center"/>
    </xf>
    <xf numFmtId="0" fontId="39" fillId="18" borderId="100" xfId="0" applyFont="1" applyFill="1" applyBorder="1" applyAlignment="1">
      <alignment horizontal="center"/>
    </xf>
    <xf numFmtId="0" fontId="39" fillId="18" borderId="101" xfId="0" applyFont="1" applyFill="1" applyBorder="1" applyAlignment="1">
      <alignment horizontal="left"/>
    </xf>
    <xf numFmtId="0" fontId="39" fillId="18" borderId="102" xfId="0" applyFont="1" applyFill="1" applyBorder="1" applyAlignment="1">
      <alignment horizontal="center"/>
    </xf>
    <xf numFmtId="0" fontId="39" fillId="18" borderId="103" xfId="0" applyFont="1" applyFill="1" applyBorder="1" applyAlignment="1">
      <alignment horizontal="center"/>
    </xf>
    <xf numFmtId="0" fontId="12" fillId="14" borderId="0" xfId="0" applyFont="1" applyFill="1" applyAlignment="1">
      <alignment horizontal="center"/>
    </xf>
    <xf numFmtId="0" fontId="60" fillId="14" borderId="0" xfId="0" applyFont="1" applyFill="1" applyAlignment="1">
      <alignment horizontal="center"/>
    </xf>
    <xf numFmtId="180" fontId="60" fillId="14" borderId="0" xfId="0" applyNumberFormat="1" applyFont="1" applyFill="1" applyAlignment="1">
      <alignment horizontal="center"/>
    </xf>
    <xf numFmtId="0" fontId="61" fillId="14" borderId="86" xfId="0" applyFont="1" applyFill="1" applyBorder="1"/>
    <xf numFmtId="0" fontId="61" fillId="14" borderId="88" xfId="0" applyFont="1" applyFill="1" applyBorder="1"/>
    <xf numFmtId="0" fontId="0" fillId="0" borderId="91" xfId="0" applyBorder="1"/>
    <xf numFmtId="0" fontId="61" fillId="14" borderId="90" xfId="0" applyFont="1" applyFill="1" applyBorder="1"/>
    <xf numFmtId="180" fontId="57" fillId="18" borderId="87" xfId="0" applyNumberFormat="1" applyFont="1" applyFill="1" applyBorder="1"/>
    <xf numFmtId="168" fontId="57" fillId="18" borderId="89" xfId="0" applyNumberFormat="1" applyFont="1" applyFill="1" applyBorder="1"/>
    <xf numFmtId="168" fontId="57" fillId="18" borderId="91" xfId="0" applyNumberFormat="1" applyFont="1" applyFill="1" applyBorder="1"/>
    <xf numFmtId="0" fontId="51" fillId="14" borderId="66" xfId="0" applyFont="1" applyFill="1" applyBorder="1" applyAlignment="1">
      <alignment horizontal="center"/>
    </xf>
    <xf numFmtId="0" fontId="51" fillId="14" borderId="67" xfId="0" applyFont="1" applyFill="1" applyBorder="1" applyAlignment="1">
      <alignment horizontal="center"/>
    </xf>
    <xf numFmtId="0" fontId="51" fillId="14" borderId="68" xfId="0" applyFont="1" applyFill="1" applyBorder="1" applyAlignment="1">
      <alignment horizontal="center"/>
    </xf>
    <xf numFmtId="0" fontId="51" fillId="14" borderId="75" xfId="0" applyFont="1" applyFill="1" applyBorder="1" applyAlignment="1">
      <alignment horizontal="right"/>
    </xf>
    <xf numFmtId="0" fontId="20" fillId="14" borderId="19" xfId="0" applyFont="1" applyFill="1" applyBorder="1"/>
    <xf numFmtId="0" fontId="51" fillId="14" borderId="27" xfId="0" applyFont="1" applyFill="1" applyBorder="1"/>
    <xf numFmtId="10" fontId="20" fillId="18" borderId="27" xfId="0" applyNumberFormat="1" applyFont="1" applyFill="1" applyBorder="1"/>
    <xf numFmtId="0" fontId="41" fillId="18" borderId="7" xfId="0" applyFont="1" applyFill="1" applyBorder="1" applyAlignment="1">
      <alignment horizontal="left"/>
    </xf>
    <xf numFmtId="0" fontId="41" fillId="18" borderId="9" xfId="0" applyFont="1" applyFill="1" applyBorder="1" applyAlignment="1">
      <alignment horizontal="left"/>
    </xf>
    <xf numFmtId="0" fontId="40" fillId="18" borderId="9" xfId="0" applyFont="1" applyFill="1" applyBorder="1"/>
    <xf numFmtId="10" fontId="40" fillId="18" borderId="27" xfId="0" applyNumberFormat="1" applyFont="1" applyFill="1" applyBorder="1" applyAlignment="1">
      <alignment horizontal="right"/>
    </xf>
    <xf numFmtId="0" fontId="41" fillId="18" borderId="34" xfId="0" applyFont="1" applyFill="1" applyBorder="1"/>
    <xf numFmtId="0" fontId="40" fillId="18" borderId="27" xfId="0" applyFont="1" applyFill="1" applyBorder="1"/>
    <xf numFmtId="0" fontId="20" fillId="18" borderId="27" xfId="0" applyFont="1" applyFill="1" applyBorder="1"/>
    <xf numFmtId="2" fontId="40" fillId="18" borderId="10" xfId="0" applyNumberFormat="1" applyFont="1" applyFill="1" applyBorder="1" applyAlignment="1">
      <alignment horizontal="right"/>
    </xf>
    <xf numFmtId="0" fontId="39" fillId="18" borderId="27" xfId="0" applyFont="1" applyFill="1" applyBorder="1"/>
    <xf numFmtId="0" fontId="27" fillId="0" borderId="27" xfId="0" applyFont="1" applyBorder="1"/>
    <xf numFmtId="0" fontId="66" fillId="18" borderId="27" xfId="0" applyFont="1" applyFill="1" applyBorder="1"/>
    <xf numFmtId="0" fontId="67" fillId="18" borderId="27" xfId="0" applyFont="1" applyFill="1" applyBorder="1"/>
    <xf numFmtId="0" fontId="68" fillId="21" borderId="0" xfId="0" applyFont="1" applyFill="1"/>
    <xf numFmtId="0" fontId="68" fillId="22" borderId="0" xfId="0" applyFont="1" applyFill="1"/>
    <xf numFmtId="0" fontId="70" fillId="14" borderId="27" xfId="0" applyFont="1" applyFill="1" applyBorder="1" applyAlignment="1">
      <alignment horizontal="center"/>
    </xf>
    <xf numFmtId="0" fontId="60" fillId="14" borderId="34" xfId="0" applyFont="1" applyFill="1" applyBorder="1" applyAlignment="1">
      <alignment horizontal="center"/>
    </xf>
    <xf numFmtId="0" fontId="60" fillId="14" borderId="6" xfId="0" applyFont="1" applyFill="1" applyBorder="1" applyAlignment="1">
      <alignment horizontal="center"/>
    </xf>
    <xf numFmtId="0" fontId="70" fillId="14" borderId="34" xfId="0" applyFont="1" applyFill="1" applyBorder="1"/>
    <xf numFmtId="0" fontId="62" fillId="14" borderId="26" xfId="0" applyFont="1" applyFill="1" applyBorder="1"/>
    <xf numFmtId="0" fontId="51" fillId="14" borderId="34" xfId="0" applyFont="1" applyFill="1" applyBorder="1" applyAlignment="1">
      <alignment horizontal="center"/>
    </xf>
    <xf numFmtId="0" fontId="58" fillId="14" borderId="25" xfId="0" applyFont="1" applyFill="1" applyBorder="1" applyAlignment="1">
      <alignment horizontal="center"/>
    </xf>
    <xf numFmtId="0" fontId="20" fillId="14" borderId="26" xfId="0" applyFont="1" applyFill="1" applyBorder="1"/>
    <xf numFmtId="0" fontId="39" fillId="18" borderId="0" xfId="0" applyFont="1" applyFill="1"/>
    <xf numFmtId="0" fontId="2" fillId="18" borderId="0" xfId="0" applyFont="1" applyFill="1"/>
    <xf numFmtId="0" fontId="40" fillId="18" borderId="7" xfId="0" applyFont="1" applyFill="1" applyBorder="1" applyAlignment="1">
      <alignment horizontal="center"/>
    </xf>
    <xf numFmtId="0" fontId="40" fillId="18" borderId="0" xfId="0" applyFont="1" applyFill="1" applyAlignment="1">
      <alignment horizontal="center"/>
    </xf>
    <xf numFmtId="0" fontId="27" fillId="18" borderId="8" xfId="0" applyFont="1" applyFill="1" applyBorder="1" applyAlignment="1">
      <alignment horizontal="center"/>
    </xf>
    <xf numFmtId="0" fontId="14" fillId="18" borderId="5" xfId="0" applyFont="1" applyFill="1" applyBorder="1"/>
    <xf numFmtId="0" fontId="14" fillId="18" borderId="20" xfId="0" applyFont="1" applyFill="1" applyBorder="1" applyAlignment="1">
      <alignment horizontal="center"/>
    </xf>
    <xf numFmtId="0" fontId="14" fillId="18" borderId="6" xfId="0" applyFont="1" applyFill="1" applyBorder="1" applyAlignment="1">
      <alignment horizontal="center"/>
    </xf>
    <xf numFmtId="0" fontId="12" fillId="14" borderId="7" xfId="0" applyFont="1" applyFill="1" applyBorder="1"/>
    <xf numFmtId="0" fontId="12" fillId="14" borderId="0" xfId="0" applyFont="1" applyFill="1"/>
    <xf numFmtId="0" fontId="12" fillId="14" borderId="8" xfId="0" applyFont="1" applyFill="1" applyBorder="1"/>
    <xf numFmtId="0" fontId="19" fillId="18" borderId="7" xfId="0" applyFont="1" applyFill="1" applyBorder="1"/>
    <xf numFmtId="0" fontId="19" fillId="18" borderId="0" xfId="0" applyFont="1" applyFill="1"/>
    <xf numFmtId="0" fontId="19" fillId="18" borderId="8" xfId="0" applyFont="1" applyFill="1" applyBorder="1"/>
    <xf numFmtId="0" fontId="19" fillId="18" borderId="5" xfId="0" applyFont="1" applyFill="1" applyBorder="1"/>
    <xf numFmtId="0" fontId="19" fillId="18" borderId="20" xfId="0" applyFont="1" applyFill="1" applyBorder="1"/>
    <xf numFmtId="0" fontId="19" fillId="18" borderId="104" xfId="0" applyFont="1" applyFill="1" applyBorder="1"/>
    <xf numFmtId="0" fontId="19" fillId="0" borderId="89" xfId="0" applyFont="1" applyBorder="1"/>
    <xf numFmtId="0" fontId="0" fillId="0" borderId="89" xfId="0" applyBorder="1"/>
    <xf numFmtId="0" fontId="19" fillId="0" borderId="105" xfId="0" applyFont="1" applyBorder="1"/>
    <xf numFmtId="0" fontId="19" fillId="18" borderId="6" xfId="0" applyFont="1" applyFill="1" applyBorder="1"/>
    <xf numFmtId="0" fontId="76" fillId="14" borderId="0" xfId="0" applyFont="1" applyFill="1"/>
    <xf numFmtId="0" fontId="19" fillId="0" borderId="37" xfId="0" applyFont="1" applyBorder="1"/>
    <xf numFmtId="0" fontId="0" fillId="0" borderId="81" xfId="0" applyBorder="1"/>
    <xf numFmtId="0" fontId="19" fillId="0" borderId="81" xfId="0" applyFont="1" applyBorder="1"/>
    <xf numFmtId="0" fontId="73" fillId="14" borderId="5" xfId="0" applyFont="1" applyFill="1" applyBorder="1"/>
    <xf numFmtId="0" fontId="73" fillId="14" borderId="20" xfId="0" applyFont="1" applyFill="1" applyBorder="1"/>
    <xf numFmtId="0" fontId="73" fillId="14" borderId="6" xfId="0" applyFont="1" applyFill="1" applyBorder="1"/>
    <xf numFmtId="0" fontId="20" fillId="18" borderId="7" xfId="0" applyFont="1" applyFill="1" applyBorder="1"/>
    <xf numFmtId="0" fontId="20" fillId="18" borderId="0" xfId="0" applyFont="1" applyFill="1"/>
    <xf numFmtId="0" fontId="20" fillId="18" borderId="8" xfId="0" applyFont="1" applyFill="1" applyBorder="1"/>
    <xf numFmtId="0" fontId="60" fillId="14" borderId="5" xfId="0" applyFont="1" applyFill="1" applyBorder="1" applyAlignment="1">
      <alignment horizontal="centerContinuous"/>
    </xf>
    <xf numFmtId="0" fontId="60" fillId="14" borderId="20" xfId="0" applyFont="1" applyFill="1" applyBorder="1" applyAlignment="1">
      <alignment horizontal="centerContinuous"/>
    </xf>
    <xf numFmtId="0" fontId="60" fillId="14" borderId="6" xfId="0" applyFont="1" applyFill="1" applyBorder="1" applyAlignment="1">
      <alignment horizontal="centerContinuous"/>
    </xf>
    <xf numFmtId="164" fontId="9" fillId="14" borderId="14" xfId="0" applyNumberFormat="1" applyFont="1" applyFill="1" applyBorder="1" applyAlignment="1">
      <alignment horizontal="right"/>
    </xf>
    <xf numFmtId="0" fontId="9" fillId="14" borderId="15" xfId="0" applyFont="1" applyFill="1" applyBorder="1" applyAlignment="1">
      <alignment horizontal="right"/>
    </xf>
    <xf numFmtId="0" fontId="20" fillId="18" borderId="9" xfId="0" applyFont="1" applyFill="1" applyBorder="1"/>
    <xf numFmtId="0" fontId="60" fillId="0" borderId="0" xfId="0" applyFont="1" applyAlignment="1">
      <alignment horizontal="centerContinuous"/>
    </xf>
    <xf numFmtId="0" fontId="14" fillId="0" borderId="89" xfId="0" applyFont="1" applyBorder="1"/>
    <xf numFmtId="0" fontId="2" fillId="0" borderId="81" xfId="0" applyFont="1" applyBorder="1" applyAlignment="1">
      <alignment horizontal="left"/>
    </xf>
    <xf numFmtId="167" fontId="51" fillId="14" borderId="8" xfId="0" applyNumberFormat="1" applyFont="1" applyFill="1" applyBorder="1" applyAlignment="1">
      <alignment horizontal="right"/>
    </xf>
    <xf numFmtId="9" fontId="17" fillId="18" borderId="11" xfId="0" applyNumberFormat="1" applyFont="1" applyFill="1" applyBorder="1" applyAlignment="1">
      <alignment horizontal="right"/>
    </xf>
    <xf numFmtId="164" fontId="17" fillId="18" borderId="17" xfId="0" applyNumberFormat="1" applyFont="1" applyFill="1" applyBorder="1" applyAlignment="1">
      <alignment horizontal="right"/>
    </xf>
    <xf numFmtId="9" fontId="17" fillId="18" borderId="15" xfId="0" applyNumberFormat="1" applyFont="1" applyFill="1" applyBorder="1" applyAlignment="1">
      <alignment horizontal="right"/>
    </xf>
    <xf numFmtId="10" fontId="39" fillId="0" borderId="87" xfId="0" applyNumberFormat="1" applyFont="1" applyBorder="1" applyAlignment="1">
      <alignment horizontal="right"/>
    </xf>
    <xf numFmtId="10" fontId="39" fillId="0" borderId="91" xfId="0" applyNumberFormat="1" applyFont="1" applyBorder="1" applyAlignment="1">
      <alignment horizontal="right"/>
    </xf>
    <xf numFmtId="0" fontId="70" fillId="14" borderId="86" xfId="0" applyFont="1" applyFill="1" applyBorder="1"/>
    <xf numFmtId="0" fontId="70" fillId="14" borderId="90" xfId="0" applyFont="1" applyFill="1" applyBorder="1"/>
    <xf numFmtId="169" fontId="15" fillId="18" borderId="15" xfId="0" applyNumberFormat="1" applyFont="1" applyFill="1" applyBorder="1" applyAlignment="1">
      <alignment horizontal="right"/>
    </xf>
    <xf numFmtId="169" fontId="16" fillId="18" borderId="15" xfId="0" applyNumberFormat="1" applyFont="1" applyFill="1" applyBorder="1" applyAlignment="1">
      <alignment horizontal="right"/>
    </xf>
    <xf numFmtId="169" fontId="18" fillId="18" borderId="14" xfId="0" applyNumberFormat="1" applyFont="1" applyFill="1" applyBorder="1" applyAlignment="1">
      <alignment horizontal="right"/>
    </xf>
    <xf numFmtId="169" fontId="18" fillId="18" borderId="23" xfId="0" applyNumberFormat="1" applyFont="1" applyFill="1" applyBorder="1" applyAlignment="1">
      <alignment horizontal="right"/>
    </xf>
    <xf numFmtId="9" fontId="2" fillId="18" borderId="11" xfId="0" applyNumberFormat="1" applyFont="1" applyFill="1" applyBorder="1" applyAlignment="1">
      <alignment horizontal="right"/>
    </xf>
    <xf numFmtId="165" fontId="2" fillId="18" borderId="19" xfId="0" applyNumberFormat="1" applyFont="1" applyFill="1" applyBorder="1" applyAlignment="1">
      <alignment horizontal="right"/>
    </xf>
    <xf numFmtId="169" fontId="14" fillId="18" borderId="18" xfId="0" applyNumberFormat="1" applyFont="1" applyFill="1" applyBorder="1"/>
    <xf numFmtId="170" fontId="17" fillId="18" borderId="19" xfId="0" applyNumberFormat="1" applyFont="1" applyFill="1" applyBorder="1" applyAlignment="1">
      <alignment horizontal="right"/>
    </xf>
    <xf numFmtId="170" fontId="2" fillId="18" borderId="18" xfId="0" applyNumberFormat="1" applyFont="1" applyFill="1" applyBorder="1" applyAlignment="1">
      <alignment horizontal="right"/>
    </xf>
    <xf numFmtId="165" fontId="17" fillId="18" borderId="19" xfId="0" applyNumberFormat="1" applyFont="1" applyFill="1" applyBorder="1" applyAlignment="1">
      <alignment horizontal="right"/>
    </xf>
    <xf numFmtId="165" fontId="2" fillId="18" borderId="18" xfId="0" applyNumberFormat="1" applyFont="1" applyFill="1" applyBorder="1" applyAlignment="1">
      <alignment horizontal="right"/>
    </xf>
    <xf numFmtId="165" fontId="17" fillId="18" borderId="18" xfId="0" applyNumberFormat="1" applyFont="1" applyFill="1" applyBorder="1" applyAlignment="1">
      <alignment horizontal="right"/>
    </xf>
    <xf numFmtId="1" fontId="17" fillId="18" borderId="19" xfId="0" applyNumberFormat="1" applyFont="1" applyFill="1" applyBorder="1" applyAlignment="1">
      <alignment horizontal="right"/>
    </xf>
    <xf numFmtId="169" fontId="2" fillId="18" borderId="18" xfId="0" applyNumberFormat="1" applyFont="1" applyFill="1" applyBorder="1" applyAlignment="1">
      <alignment horizontal="right"/>
    </xf>
    <xf numFmtId="169" fontId="17" fillId="18" borderId="18" xfId="0" applyNumberFormat="1" applyFont="1" applyFill="1" applyBorder="1" applyAlignment="1">
      <alignment horizontal="right"/>
    </xf>
    <xf numFmtId="9" fontId="2" fillId="18" borderId="27" xfId="0" applyNumberFormat="1" applyFont="1" applyFill="1" applyBorder="1" applyAlignment="1">
      <alignment horizontal="right"/>
    </xf>
    <xf numFmtId="165" fontId="2" fillId="18" borderId="0" xfId="0" applyNumberFormat="1" applyFont="1" applyFill="1" applyAlignment="1">
      <alignment horizontal="right"/>
    </xf>
    <xf numFmtId="171" fontId="17" fillId="18" borderId="20" xfId="0" applyNumberFormat="1" applyFont="1" applyFill="1" applyBorder="1" applyAlignment="1">
      <alignment horizontal="right"/>
    </xf>
    <xf numFmtId="165" fontId="17" fillId="18" borderId="20" xfId="0" applyNumberFormat="1" applyFont="1" applyFill="1" applyBorder="1" applyAlignment="1">
      <alignment horizontal="right"/>
    </xf>
    <xf numFmtId="165" fontId="2" fillId="18" borderId="7" xfId="0" applyNumberFormat="1" applyFont="1" applyFill="1" applyBorder="1" applyAlignment="1">
      <alignment horizontal="right"/>
    </xf>
    <xf numFmtId="171" fontId="17" fillId="18" borderId="5" xfId="0" applyNumberFormat="1" applyFont="1" applyFill="1" applyBorder="1" applyAlignment="1">
      <alignment horizontal="right"/>
    </xf>
    <xf numFmtId="165" fontId="17" fillId="18" borderId="5" xfId="0" applyNumberFormat="1" applyFont="1" applyFill="1" applyBorder="1" applyAlignment="1">
      <alignment horizontal="right"/>
    </xf>
    <xf numFmtId="1" fontId="8" fillId="18" borderId="19" xfId="0" applyNumberFormat="1" applyFont="1" applyFill="1" applyBorder="1"/>
    <xf numFmtId="171" fontId="17" fillId="18" borderId="19" xfId="0" applyNumberFormat="1" applyFont="1" applyFill="1" applyBorder="1" applyAlignment="1">
      <alignment horizontal="right"/>
    </xf>
    <xf numFmtId="165" fontId="19" fillId="18" borderId="18" xfId="0" applyNumberFormat="1" applyFont="1" applyFill="1" applyBorder="1"/>
    <xf numFmtId="0" fontId="19" fillId="18" borderId="18" xfId="0" applyFont="1" applyFill="1" applyBorder="1"/>
    <xf numFmtId="165" fontId="25" fillId="18" borderId="18" xfId="0" applyNumberFormat="1" applyFont="1" applyFill="1" applyBorder="1" applyAlignment="1">
      <alignment horizontal="right"/>
    </xf>
    <xf numFmtId="170" fontId="16" fillId="18" borderId="15" xfId="0" applyNumberFormat="1" applyFont="1" applyFill="1" applyBorder="1" applyAlignment="1">
      <alignment horizontal="right"/>
    </xf>
    <xf numFmtId="170" fontId="2" fillId="18" borderId="15" xfId="0" applyNumberFormat="1" applyFont="1" applyFill="1" applyBorder="1" applyAlignment="1">
      <alignment horizontal="right"/>
    </xf>
    <xf numFmtId="170" fontId="17" fillId="18" borderId="14" xfId="0" applyNumberFormat="1" applyFont="1" applyFill="1" applyBorder="1" applyAlignment="1">
      <alignment horizontal="right"/>
    </xf>
    <xf numFmtId="170" fontId="17" fillId="18" borderId="23" xfId="0" applyNumberFormat="1" applyFont="1" applyFill="1" applyBorder="1" applyAlignment="1">
      <alignment horizontal="right"/>
    </xf>
    <xf numFmtId="170" fontId="2" fillId="18" borderId="17" xfId="0" applyNumberFormat="1" applyFont="1" applyFill="1" applyBorder="1" applyAlignment="1">
      <alignment horizontal="right"/>
    </xf>
    <xf numFmtId="170" fontId="17" fillId="18" borderId="15" xfId="0" applyNumberFormat="1" applyFont="1" applyFill="1" applyBorder="1" applyAlignment="1">
      <alignment horizontal="right"/>
    </xf>
    <xf numFmtId="165" fontId="28" fillId="18" borderId="17" xfId="0" applyNumberFormat="1" applyFont="1" applyFill="1" applyBorder="1" applyAlignment="1">
      <alignment horizontal="right"/>
    </xf>
    <xf numFmtId="170" fontId="15" fillId="18" borderId="15" xfId="0" applyNumberFormat="1" applyFont="1" applyFill="1" applyBorder="1" applyAlignment="1">
      <alignment horizontal="right"/>
    </xf>
    <xf numFmtId="170" fontId="15" fillId="18" borderId="15" xfId="0" applyNumberFormat="1" applyFont="1" applyFill="1" applyBorder="1"/>
    <xf numFmtId="170" fontId="16" fillId="18" borderId="17" xfId="0" applyNumberFormat="1" applyFont="1" applyFill="1" applyBorder="1" applyAlignment="1">
      <alignment horizontal="right"/>
    </xf>
    <xf numFmtId="170" fontId="17" fillId="18" borderId="38" xfId="0" applyNumberFormat="1" applyFont="1" applyFill="1" applyBorder="1" applyAlignment="1">
      <alignment horizontal="right"/>
    </xf>
    <xf numFmtId="170" fontId="17" fillId="18" borderId="40" xfId="0" applyNumberFormat="1" applyFont="1" applyFill="1" applyBorder="1" applyAlignment="1">
      <alignment horizontal="right"/>
    </xf>
    <xf numFmtId="0" fontId="16" fillId="18" borderId="18" xfId="0" applyFont="1" applyFill="1" applyBorder="1" applyAlignment="1">
      <alignment horizontal="right"/>
    </xf>
    <xf numFmtId="165" fontId="17" fillId="18" borderId="23" xfId="0" applyNumberFormat="1" applyFont="1" applyFill="1" applyBorder="1" applyAlignment="1">
      <alignment horizontal="right"/>
    </xf>
    <xf numFmtId="170" fontId="14" fillId="18" borderId="18" xfId="0" applyNumberFormat="1" applyFont="1" applyFill="1" applyBorder="1"/>
    <xf numFmtId="173" fontId="2" fillId="18" borderId="18" xfId="0" applyNumberFormat="1" applyFont="1" applyFill="1" applyBorder="1" applyAlignment="1">
      <alignment horizontal="right"/>
    </xf>
    <xf numFmtId="165" fontId="16" fillId="18" borderId="18" xfId="0" applyNumberFormat="1" applyFont="1" applyFill="1" applyBorder="1" applyAlignment="1">
      <alignment horizontal="right"/>
    </xf>
    <xf numFmtId="165" fontId="17" fillId="18" borderId="41" xfId="0" applyNumberFormat="1" applyFont="1" applyFill="1" applyBorder="1" applyAlignment="1">
      <alignment horizontal="right"/>
    </xf>
    <xf numFmtId="165" fontId="28" fillId="18" borderId="9" xfId="0" applyNumberFormat="1" applyFont="1" applyFill="1" applyBorder="1" applyAlignment="1">
      <alignment horizontal="right"/>
    </xf>
    <xf numFmtId="170" fontId="19" fillId="18" borderId="18" xfId="0" applyNumberFormat="1" applyFont="1" applyFill="1" applyBorder="1"/>
    <xf numFmtId="168" fontId="19" fillId="18" borderId="18" xfId="0" applyNumberFormat="1" applyFont="1" applyFill="1" applyBorder="1"/>
    <xf numFmtId="0" fontId="14" fillId="18" borderId="18" xfId="0" applyFont="1" applyFill="1" applyBorder="1"/>
    <xf numFmtId="165" fontId="17" fillId="18" borderId="42" xfId="0" applyNumberFormat="1" applyFont="1" applyFill="1" applyBorder="1" applyAlignment="1">
      <alignment horizontal="right"/>
    </xf>
    <xf numFmtId="172" fontId="2" fillId="18" borderId="31" xfId="0" applyNumberFormat="1" applyFont="1" applyFill="1" applyBorder="1" applyAlignment="1">
      <alignment horizontal="right"/>
    </xf>
    <xf numFmtId="10" fontId="2" fillId="18" borderId="11" xfId="0" applyNumberFormat="1" applyFont="1" applyFill="1" applyBorder="1" applyAlignment="1">
      <alignment horizontal="right"/>
    </xf>
    <xf numFmtId="10" fontId="2" fillId="18" borderId="18" xfId="0" applyNumberFormat="1" applyFont="1" applyFill="1" applyBorder="1" applyAlignment="1">
      <alignment horizontal="right"/>
    </xf>
    <xf numFmtId="172" fontId="2" fillId="18" borderId="11" xfId="0" applyNumberFormat="1" applyFont="1" applyFill="1" applyBorder="1" applyAlignment="1">
      <alignment horizontal="right"/>
    </xf>
    <xf numFmtId="172" fontId="2" fillId="18" borderId="35" xfId="0" applyNumberFormat="1" applyFont="1" applyFill="1" applyBorder="1" applyAlignment="1">
      <alignment horizontal="right"/>
    </xf>
    <xf numFmtId="10" fontId="19" fillId="18" borderId="19" xfId="0" applyNumberFormat="1" applyFont="1" applyFill="1" applyBorder="1"/>
    <xf numFmtId="10" fontId="2" fillId="18" borderId="8" xfId="0" applyNumberFormat="1" applyFont="1" applyFill="1" applyBorder="1" applyAlignment="1">
      <alignment horizontal="right"/>
    </xf>
    <xf numFmtId="10" fontId="19" fillId="18" borderId="18" xfId="0" applyNumberFormat="1" applyFont="1" applyFill="1" applyBorder="1"/>
    <xf numFmtId="0" fontId="19" fillId="18" borderId="24" xfId="0" applyFont="1" applyFill="1" applyBorder="1"/>
    <xf numFmtId="10" fontId="2" fillId="18" borderId="19" xfId="0" applyNumberFormat="1" applyFont="1" applyFill="1" applyBorder="1" applyAlignment="1">
      <alignment horizontal="right"/>
    </xf>
    <xf numFmtId="164" fontId="2" fillId="18" borderId="18" xfId="0" applyNumberFormat="1" applyFont="1" applyFill="1" applyBorder="1" applyAlignment="1">
      <alignment horizontal="right"/>
    </xf>
    <xf numFmtId="164" fontId="2" fillId="18" borderId="24" xfId="0" applyNumberFormat="1" applyFont="1" applyFill="1" applyBorder="1" applyAlignment="1">
      <alignment horizontal="right"/>
    </xf>
    <xf numFmtId="10" fontId="2" fillId="18" borderId="31" xfId="0" applyNumberFormat="1" applyFont="1" applyFill="1" applyBorder="1" applyAlignment="1">
      <alignment horizontal="right"/>
    </xf>
    <xf numFmtId="172" fontId="2" fillId="18" borderId="18" xfId="0" applyNumberFormat="1" applyFont="1" applyFill="1" applyBorder="1" applyAlignment="1">
      <alignment horizontal="right"/>
    </xf>
    <xf numFmtId="172" fontId="2" fillId="18" borderId="14" xfId="0" applyNumberFormat="1" applyFont="1" applyFill="1" applyBorder="1" applyAlignment="1">
      <alignment horizontal="right"/>
    </xf>
    <xf numFmtId="10" fontId="2" fillId="18" borderId="15" xfId="0" applyNumberFormat="1" applyFont="1" applyFill="1" applyBorder="1" applyAlignment="1">
      <alignment horizontal="right"/>
    </xf>
    <xf numFmtId="172" fontId="2" fillId="18" borderId="15" xfId="0" applyNumberFormat="1" applyFont="1" applyFill="1" applyBorder="1" applyAlignment="1">
      <alignment horizontal="right"/>
    </xf>
    <xf numFmtId="172" fontId="2" fillId="18" borderId="16" xfId="0" applyNumberFormat="1" applyFont="1" applyFill="1" applyBorder="1" applyAlignment="1">
      <alignment horizontal="right"/>
    </xf>
    <xf numFmtId="2" fontId="2" fillId="18" borderId="18" xfId="0" applyNumberFormat="1" applyFont="1" applyFill="1" applyBorder="1" applyAlignment="1">
      <alignment horizontal="right"/>
    </xf>
    <xf numFmtId="2" fontId="2" fillId="18" borderId="15" xfId="0" applyNumberFormat="1" applyFont="1" applyFill="1" applyBorder="1" applyAlignment="1">
      <alignment horizontal="right"/>
    </xf>
    <xf numFmtId="168" fontId="2" fillId="18" borderId="15" xfId="0" applyNumberFormat="1" applyFont="1" applyFill="1" applyBorder="1" applyAlignment="1">
      <alignment horizontal="right"/>
    </xf>
    <xf numFmtId="9" fontId="2" fillId="18" borderId="17" xfId="0" applyNumberFormat="1" applyFont="1" applyFill="1" applyBorder="1" applyAlignment="1">
      <alignment horizontal="right"/>
    </xf>
    <xf numFmtId="10" fontId="2" fillId="18" borderId="37" xfId="0" applyNumberFormat="1" applyFont="1" applyFill="1" applyBorder="1" applyAlignment="1">
      <alignment horizontal="right"/>
    </xf>
    <xf numFmtId="9" fontId="2" fillId="18" borderId="19" xfId="0" applyNumberFormat="1" applyFont="1" applyFill="1" applyBorder="1" applyAlignment="1">
      <alignment horizontal="right"/>
    </xf>
    <xf numFmtId="9" fontId="2" fillId="18" borderId="18" xfId="0" applyNumberFormat="1" applyFont="1" applyFill="1" applyBorder="1" applyAlignment="1">
      <alignment horizontal="right"/>
    </xf>
    <xf numFmtId="168" fontId="2" fillId="18" borderId="7" xfId="0" applyNumberFormat="1" applyFont="1" applyFill="1" applyBorder="1" applyAlignment="1">
      <alignment horizontal="right"/>
    </xf>
    <xf numFmtId="4" fontId="2" fillId="18" borderId="18" xfId="0" applyNumberFormat="1" applyFont="1" applyFill="1" applyBorder="1" applyAlignment="1">
      <alignment horizontal="right"/>
    </xf>
    <xf numFmtId="9" fontId="2" fillId="18" borderId="24" xfId="0" applyNumberFormat="1" applyFont="1" applyFill="1" applyBorder="1" applyAlignment="1">
      <alignment horizontal="right"/>
    </xf>
    <xf numFmtId="180" fontId="9" fillId="14" borderId="6" xfId="0" applyNumberFormat="1" applyFont="1" applyFill="1" applyBorder="1"/>
    <xf numFmtId="168" fontId="39" fillId="0" borderId="96" xfId="0" applyNumberFormat="1" applyFont="1" applyBorder="1" applyAlignment="1">
      <alignment horizontal="right"/>
    </xf>
    <xf numFmtId="168" fontId="39" fillId="0" borderId="61" xfId="0" applyNumberFormat="1" applyFont="1" applyBorder="1" applyAlignment="1">
      <alignment horizontal="right"/>
    </xf>
    <xf numFmtId="168" fontId="39" fillId="0" borderId="58" xfId="0" applyNumberFormat="1" applyFont="1" applyBorder="1" applyAlignment="1">
      <alignment horizontal="right"/>
    </xf>
    <xf numFmtId="168" fontId="39" fillId="0" borderId="64" xfId="0" applyNumberFormat="1" applyFont="1" applyBorder="1" applyAlignment="1">
      <alignment horizontal="right"/>
    </xf>
    <xf numFmtId="43" fontId="2" fillId="18" borderId="24" xfId="0" applyNumberFormat="1" applyFont="1" applyFill="1" applyBorder="1" applyAlignment="1">
      <alignment horizontal="right"/>
    </xf>
    <xf numFmtId="0" fontId="39" fillId="0" borderId="7" xfId="0" applyFont="1" applyBorder="1" applyAlignment="1">
      <alignment horizontal="left"/>
    </xf>
    <xf numFmtId="0" fontId="0" fillId="0" borderId="0" xfId="0"/>
    <xf numFmtId="0" fontId="37" fillId="0" borderId="7" xfId="0" applyFont="1" applyBorder="1" applyAlignment="1">
      <alignment horizontal="left"/>
    </xf>
    <xf numFmtId="0" fontId="42" fillId="0" borderId="7" xfId="0" applyFont="1" applyBorder="1"/>
    <xf numFmtId="168" fontId="16" fillId="0" borderId="7" xfId="0" applyNumberFormat="1" applyFont="1" applyBorder="1" applyAlignment="1">
      <alignment horizontal="left"/>
    </xf>
    <xf numFmtId="0" fontId="4" fillId="0" borderId="8" xfId="0" applyFont="1" applyBorder="1"/>
    <xf numFmtId="2" fontId="16" fillId="0" borderId="7" xfId="0" applyNumberFormat="1" applyFont="1" applyBorder="1" applyAlignment="1">
      <alignment horizontal="left"/>
    </xf>
    <xf numFmtId="0" fontId="16" fillId="0" borderId="7" xfId="0" applyFont="1" applyBorder="1" applyAlignment="1">
      <alignment horizontal="left"/>
    </xf>
    <xf numFmtId="0" fontId="30" fillId="14" borderId="46" xfId="0" applyFont="1" applyFill="1" applyBorder="1"/>
    <xf numFmtId="0" fontId="4" fillId="14" borderId="79" xfId="0" applyFont="1" applyFill="1" applyBorder="1"/>
    <xf numFmtId="0" fontId="37" fillId="0" borderId="46" xfId="0" applyFont="1" applyBorder="1" applyAlignment="1">
      <alignment horizontal="left"/>
    </xf>
    <xf numFmtId="0" fontId="0" fillId="0" borderId="37" xfId="0" applyBorder="1"/>
    <xf numFmtId="0" fontId="2" fillId="0" borderId="7" xfId="0" applyFont="1" applyBorder="1" applyAlignment="1">
      <alignment horizontal="left" vertical="top"/>
    </xf>
    <xf numFmtId="0" fontId="17" fillId="0" borderId="7" xfId="0" applyFont="1" applyBorder="1" applyAlignment="1">
      <alignment horizontal="left"/>
    </xf>
    <xf numFmtId="0" fontId="17" fillId="0" borderId="9" xfId="0" applyFont="1" applyBorder="1" applyAlignment="1">
      <alignment horizontal="left"/>
    </xf>
    <xf numFmtId="0" fontId="4" fillId="0" borderId="36" xfId="0" applyFont="1" applyBorder="1"/>
    <xf numFmtId="0" fontId="9" fillId="14" borderId="78" xfId="0" applyFont="1" applyFill="1" applyBorder="1" applyAlignment="1">
      <alignment horizontal="left"/>
    </xf>
    <xf numFmtId="165" fontId="17" fillId="0" borderId="7" xfId="0" applyNumberFormat="1" applyFont="1" applyBorder="1" applyAlignment="1">
      <alignment horizontal="left" vertical="top"/>
    </xf>
    <xf numFmtId="165" fontId="17" fillId="0" borderId="7" xfId="0" applyNumberFormat="1" applyFont="1" applyBorder="1" applyAlignment="1">
      <alignment horizontal="left"/>
    </xf>
    <xf numFmtId="0" fontId="2" fillId="0" borderId="7" xfId="0" applyFont="1" applyBorder="1" applyAlignment="1">
      <alignment horizontal="left"/>
    </xf>
    <xf numFmtId="0" fontId="23" fillId="0" borderId="7" xfId="0" applyFont="1" applyBorder="1" applyAlignment="1">
      <alignment horizontal="left"/>
    </xf>
    <xf numFmtId="0" fontId="39" fillId="0" borderId="7" xfId="0" applyFont="1" applyBorder="1" applyAlignment="1">
      <alignment horizontal="left" vertical="top"/>
    </xf>
    <xf numFmtId="0" fontId="39" fillId="0" borderId="9" xfId="0" applyFont="1" applyBorder="1" applyAlignment="1">
      <alignment horizontal="left" vertical="top"/>
    </xf>
    <xf numFmtId="0" fontId="4" fillId="0" borderId="10" xfId="0" applyFont="1" applyBorder="1"/>
    <xf numFmtId="0" fontId="49" fillId="14" borderId="5" xfId="0" applyFont="1" applyFill="1" applyBorder="1" applyAlignment="1">
      <alignment horizontal="left"/>
    </xf>
    <xf numFmtId="0" fontId="4" fillId="14" borderId="6" xfId="0" applyFont="1" applyFill="1" applyBorder="1"/>
    <xf numFmtId="0" fontId="4" fillId="0" borderId="7" xfId="0" applyFont="1" applyBorder="1"/>
    <xf numFmtId="0" fontId="4" fillId="0" borderId="9" xfId="0" applyFont="1" applyBorder="1"/>
    <xf numFmtId="0" fontId="6" fillId="0" borderId="32" xfId="0" applyFont="1" applyBorder="1" applyAlignment="1">
      <alignment horizontal="left"/>
    </xf>
    <xf numFmtId="0" fontId="4" fillId="0" borderId="13" xfId="0" applyFont="1" applyBorder="1"/>
    <xf numFmtId="0" fontId="3" fillId="0" borderId="46" xfId="0" applyFont="1" applyBorder="1" applyAlignment="1">
      <alignment horizontal="left"/>
    </xf>
    <xf numFmtId="0" fontId="4" fillId="0" borderId="33" xfId="0" applyFont="1" applyBorder="1"/>
    <xf numFmtId="0" fontId="40" fillId="0" borderId="7" xfId="0" applyFont="1" applyBorder="1" applyAlignment="1">
      <alignment horizontal="left" vertical="top"/>
    </xf>
    <xf numFmtId="0" fontId="4" fillId="14" borderId="20" xfId="0" applyFont="1" applyFill="1" applyBorder="1"/>
    <xf numFmtId="0" fontId="15" fillId="0" borderId="7" xfId="0" applyFont="1" applyBorder="1"/>
    <xf numFmtId="0" fontId="10" fillId="0" borderId="7" xfId="0" applyFont="1" applyBorder="1" applyAlignment="1">
      <alignment horizontal="center"/>
    </xf>
    <xf numFmtId="0" fontId="2" fillId="0" borderId="5" xfId="0" applyFont="1" applyBorder="1" applyAlignment="1">
      <alignment horizontal="left"/>
    </xf>
    <xf numFmtId="0" fontId="4" fillId="0" borderId="6" xfId="0" applyFont="1" applyBorder="1"/>
    <xf numFmtId="0" fontId="4" fillId="0" borderId="2" xfId="0" applyFont="1" applyBorder="1"/>
    <xf numFmtId="0" fontId="4" fillId="0" borderId="4" xfId="0" applyFont="1" applyBorder="1"/>
    <xf numFmtId="0" fontId="45" fillId="0" borderId="7" xfId="0" applyFont="1" applyBorder="1"/>
    <xf numFmtId="0" fontId="41" fillId="0" borderId="7" xfId="0" applyFont="1" applyBorder="1" applyAlignment="1">
      <alignment horizontal="left"/>
    </xf>
    <xf numFmtId="0" fontId="20" fillId="0" borderId="0" xfId="0" applyFont="1"/>
    <xf numFmtId="3" fontId="44" fillId="0" borderId="7" xfId="0" applyNumberFormat="1" applyFont="1" applyBorder="1"/>
    <xf numFmtId="0" fontId="17" fillId="0" borderId="21" xfId="0" applyFont="1" applyBorder="1" applyAlignment="1">
      <alignment horizontal="left"/>
    </xf>
    <xf numFmtId="0" fontId="4" fillId="0" borderId="39" xfId="0" applyFont="1" applyBorder="1"/>
    <xf numFmtId="0" fontId="23" fillId="0" borderId="46" xfId="0" applyFont="1" applyBorder="1" applyAlignment="1">
      <alignment horizontal="left"/>
    </xf>
    <xf numFmtId="0" fontId="22" fillId="0" borderId="34" xfId="0" applyFont="1" applyBorder="1" applyAlignment="1">
      <alignment horizontal="left"/>
    </xf>
    <xf numFmtId="0" fontId="4" fillId="0" borderId="25" xfId="0" applyFont="1" applyBorder="1"/>
    <xf numFmtId="0" fontId="17" fillId="0" borderId="1" xfId="0" applyFont="1" applyBorder="1" applyAlignment="1">
      <alignment horizontal="left"/>
    </xf>
    <xf numFmtId="0" fontId="9" fillId="14" borderId="12" xfId="0" applyFont="1" applyFill="1" applyBorder="1" applyAlignment="1">
      <alignment horizontal="left"/>
    </xf>
    <xf numFmtId="0" fontId="4" fillId="14" borderId="13" xfId="0" applyFont="1" applyFill="1" applyBorder="1"/>
    <xf numFmtId="0" fontId="3" fillId="14" borderId="1" xfId="0" applyFont="1" applyFill="1" applyBorder="1" applyAlignment="1">
      <alignment horizontal="left"/>
    </xf>
    <xf numFmtId="0" fontId="4" fillId="14" borderId="2" xfId="0" applyFont="1" applyFill="1" applyBorder="1"/>
    <xf numFmtId="0" fontId="17" fillId="0" borderId="5" xfId="0" applyFont="1" applyBorder="1" applyAlignment="1">
      <alignment horizontal="left"/>
    </xf>
    <xf numFmtId="0" fontId="4" fillId="0" borderId="22" xfId="0" applyFont="1" applyBorder="1"/>
    <xf numFmtId="0" fontId="3" fillId="2" borderId="1" xfId="0" applyFont="1" applyFill="1" applyBorder="1" applyAlignment="1">
      <alignment horizontal="left"/>
    </xf>
    <xf numFmtId="0" fontId="6" fillId="3" borderId="3" xfId="0" applyFont="1" applyFill="1" applyBorder="1" applyAlignment="1">
      <alignment horizontal="left"/>
    </xf>
    <xf numFmtId="0" fontId="8" fillId="0" borderId="34" xfId="0" applyFont="1" applyBorder="1" applyAlignment="1">
      <alignment horizontal="center" vertical="center"/>
    </xf>
    <xf numFmtId="0" fontId="4" fillId="0" borderId="26" xfId="0" applyFont="1" applyBorder="1"/>
    <xf numFmtId="0" fontId="55" fillId="0" borderId="48" xfId="0" applyFont="1" applyBorder="1" applyAlignment="1">
      <alignment horizontal="center" vertical="center"/>
    </xf>
    <xf numFmtId="0" fontId="4" fillId="0" borderId="49" xfId="0" applyFont="1" applyBorder="1"/>
    <xf numFmtId="0" fontId="59" fillId="0" borderId="0" xfId="0" applyFont="1" applyAlignment="1">
      <alignment horizontal="center"/>
    </xf>
    <xf numFmtId="0" fontId="62" fillId="14" borderId="20" xfId="0" applyFont="1" applyFill="1" applyBorder="1" applyAlignment="1">
      <alignment horizontal="center"/>
    </xf>
    <xf numFmtId="0" fontId="62" fillId="16" borderId="5" xfId="0" applyFont="1" applyFill="1" applyBorder="1" applyAlignment="1">
      <alignment horizontal="center"/>
    </xf>
    <xf numFmtId="0" fontId="4" fillId="16" borderId="20" xfId="0" applyFont="1" applyFill="1" applyBorder="1"/>
    <xf numFmtId="0" fontId="4" fillId="16" borderId="6" xfId="0" applyFont="1" applyFill="1" applyBorder="1"/>
    <xf numFmtId="0" fontId="51" fillId="16" borderId="34" xfId="0" applyFont="1" applyFill="1" applyBorder="1" applyAlignment="1">
      <alignment horizontal="center"/>
    </xf>
    <xf numFmtId="0" fontId="4" fillId="16" borderId="25" xfId="0" applyFont="1" applyFill="1" applyBorder="1"/>
    <xf numFmtId="0" fontId="4" fillId="16" borderId="26" xfId="0" applyFont="1" applyFill="1" applyBorder="1"/>
    <xf numFmtId="0" fontId="39" fillId="0" borderId="34" xfId="0" applyFont="1" applyBorder="1"/>
    <xf numFmtId="0" fontId="51" fillId="14" borderId="5" xfId="0" applyFont="1" applyFill="1" applyBorder="1" applyAlignment="1">
      <alignment horizontal="center"/>
    </xf>
    <xf numFmtId="0" fontId="63" fillId="18" borderId="19" xfId="0" applyFont="1" applyFill="1" applyBorder="1" applyAlignment="1">
      <alignment horizontal="center" vertical="center" textRotation="90"/>
    </xf>
    <xf numFmtId="0" fontId="4" fillId="18" borderId="18" xfId="0" applyFont="1" applyFill="1" applyBorder="1"/>
    <xf numFmtId="0" fontId="4" fillId="18" borderId="24" xfId="0" applyFont="1" applyFill="1" applyBorder="1"/>
    <xf numFmtId="0" fontId="41" fillId="18" borderId="25" xfId="0" applyFont="1" applyFill="1" applyBorder="1" applyAlignment="1">
      <alignment horizontal="center"/>
    </xf>
    <xf numFmtId="0" fontId="4" fillId="18" borderId="25" xfId="0" applyFont="1" applyFill="1" applyBorder="1"/>
    <xf numFmtId="0" fontId="4" fillId="18" borderId="26" xfId="0" applyFont="1" applyFill="1" applyBorder="1"/>
    <xf numFmtId="0" fontId="41" fillId="18" borderId="7" xfId="0" applyFont="1" applyFill="1" applyBorder="1" applyAlignment="1">
      <alignment horizontal="left" vertical="center"/>
    </xf>
    <xf numFmtId="0" fontId="4" fillId="18" borderId="7" xfId="0" applyFont="1" applyFill="1" applyBorder="1"/>
    <xf numFmtId="4" fontId="40" fillId="0" borderId="0" xfId="0" applyNumberFormat="1" applyFont="1" applyAlignment="1">
      <alignment horizontal="right"/>
    </xf>
    <xf numFmtId="168" fontId="41" fillId="18" borderId="36" xfId="0" applyNumberFormat="1" applyFont="1" applyFill="1" applyBorder="1" applyAlignment="1">
      <alignment horizontal="right"/>
    </xf>
    <xf numFmtId="0" fontId="4" fillId="18" borderId="10" xfId="0" applyFont="1" applyFill="1" applyBorder="1"/>
    <xf numFmtId="4" fontId="39" fillId="0" borderId="0" xfId="0" applyNumberFormat="1" applyFont="1" applyAlignment="1">
      <alignment horizontal="right"/>
    </xf>
    <xf numFmtId="3" fontId="39" fillId="0" borderId="0" xfId="0" applyNumberFormat="1" applyFont="1"/>
    <xf numFmtId="0" fontId="39" fillId="0" borderId="0" xfId="0" applyFont="1"/>
    <xf numFmtId="0" fontId="51" fillId="14" borderId="34" xfId="0" applyFont="1" applyFill="1" applyBorder="1" applyAlignment="1">
      <alignment horizontal="center"/>
    </xf>
    <xf numFmtId="0" fontId="4" fillId="14" borderId="25" xfId="0" applyFont="1" applyFill="1" applyBorder="1"/>
    <xf numFmtId="0" fontId="4" fillId="14" borderId="26" xfId="0" applyFont="1" applyFill="1" applyBorder="1"/>
    <xf numFmtId="0" fontId="6" fillId="14" borderId="34" xfId="0" applyFont="1" applyFill="1" applyBorder="1" applyAlignment="1">
      <alignment horizontal="center"/>
    </xf>
    <xf numFmtId="0" fontId="65" fillId="18" borderId="0" xfId="0" applyFont="1" applyFill="1" applyAlignment="1">
      <alignment horizontal="center"/>
    </xf>
    <xf numFmtId="0" fontId="0" fillId="18" borderId="0" xfId="0" applyFill="1"/>
    <xf numFmtId="0" fontId="69" fillId="14" borderId="0" xfId="0" applyFont="1" applyFill="1" applyAlignment="1">
      <alignment horizontal="center"/>
    </xf>
    <xf numFmtId="0" fontId="0" fillId="14" borderId="0" xfId="0" applyFill="1" applyAlignment="1">
      <alignment horizontal="center"/>
    </xf>
    <xf numFmtId="0" fontId="40" fillId="18" borderId="0" xfId="0" applyFont="1" applyFill="1" applyAlignment="1">
      <alignment horizontal="center" vertical="center"/>
    </xf>
    <xf numFmtId="0" fontId="6" fillId="14" borderId="7" xfId="0" applyFont="1" applyFill="1" applyBorder="1" applyAlignment="1">
      <alignment horizontal="center"/>
    </xf>
    <xf numFmtId="0" fontId="0" fillId="14" borderId="0" xfId="0" applyFill="1"/>
    <xf numFmtId="0" fontId="9" fillId="14" borderId="7" xfId="0" applyFont="1" applyFill="1" applyBorder="1" applyAlignment="1">
      <alignment horizontal="center"/>
    </xf>
    <xf numFmtId="0" fontId="4" fillId="14" borderId="8" xfId="0" applyFont="1" applyFill="1" applyBorder="1"/>
    <xf numFmtId="0" fontId="9" fillId="14" borderId="5" xfId="0" applyFont="1" applyFill="1" applyBorder="1" applyAlignment="1">
      <alignment horizontal="left"/>
    </xf>
    <xf numFmtId="0" fontId="75" fillId="0" borderId="0" xfId="0" applyFont="1" applyAlignment="1">
      <alignment horizontal="center"/>
    </xf>
    <xf numFmtId="0" fontId="31" fillId="14" borderId="7" xfId="0" applyFont="1" applyFill="1" applyBorder="1" applyAlignment="1">
      <alignment horizontal="center"/>
    </xf>
    <xf numFmtId="0" fontId="77" fillId="14" borderId="0" xfId="0" applyFont="1" applyFill="1" applyAlignment="1">
      <alignment horizontal="center"/>
    </xf>
    <xf numFmtId="0" fontId="2" fillId="0" borderId="46" xfId="0" applyFont="1" applyBorder="1"/>
    <xf numFmtId="0" fontId="2" fillId="0" borderId="80" xfId="0" applyFont="1" applyBorder="1" applyAlignment="1">
      <alignment horizontal="left" vertical="top"/>
    </xf>
    <xf numFmtId="0" fontId="0" fillId="0" borderId="81" xfId="0" applyBorder="1"/>
    <xf numFmtId="0" fontId="6" fillId="0" borderId="7" xfId="0" applyFont="1" applyBorder="1" applyAlignment="1">
      <alignment horizontal="center"/>
    </xf>
    <xf numFmtId="0" fontId="6" fillId="0" borderId="0" xfId="0" applyFont="1" applyAlignment="1">
      <alignment horizontal="center"/>
    </xf>
    <xf numFmtId="0" fontId="20" fillId="14" borderId="5" xfId="0" applyFont="1" applyFill="1" applyBorder="1" applyAlignment="1">
      <alignment horizontal="center"/>
    </xf>
    <xf numFmtId="0" fontId="12" fillId="0" borderId="0" xfId="0" applyFont="1" applyAlignment="1">
      <alignment horizontal="center"/>
    </xf>
    <xf numFmtId="0" fontId="12" fillId="14" borderId="34" xfId="0" applyFont="1" applyFill="1" applyBorder="1" applyAlignment="1">
      <alignment horizontal="center" vertical="center"/>
    </xf>
    <xf numFmtId="0" fontId="72" fillId="14" borderId="34" xfId="0" applyFont="1" applyFill="1" applyBorder="1" applyAlignment="1">
      <alignment horizontal="center" vertical="center"/>
    </xf>
    <xf numFmtId="0" fontId="73" fillId="0" borderId="0" xfId="0" applyFont="1" applyAlignment="1">
      <alignment horizontal="center"/>
    </xf>
    <xf numFmtId="0" fontId="19" fillId="0" borderId="0" xfId="0" applyFont="1" applyAlignment="1">
      <alignment horizontal="center"/>
    </xf>
    <xf numFmtId="0" fontId="82" fillId="0" borderId="7" xfId="0" applyFont="1" applyBorder="1"/>
    <xf numFmtId="0" fontId="83" fillId="0" borderId="0" xfId="0" applyFont="1"/>
    <xf numFmtId="0" fontId="82" fillId="0" borderId="0" xfId="0" applyFont="1"/>
    <xf numFmtId="0" fontId="84" fillId="0" borderId="8" xfId="0" applyFont="1" applyBorder="1"/>
    <xf numFmtId="0" fontId="82" fillId="0" borderId="0" xfId="0" applyFont="1"/>
    <xf numFmtId="0" fontId="82" fillId="0" borderId="7" xfId="0" applyFont="1" applyBorder="1"/>
    <xf numFmtId="0" fontId="82" fillId="0" borderId="8" xfId="0" applyFont="1" applyBorder="1"/>
    <xf numFmtId="0" fontId="86" fillId="0" borderId="7" xfId="0" applyFont="1" applyBorder="1" applyAlignment="1">
      <alignment horizontal="center"/>
    </xf>
    <xf numFmtId="0" fontId="83" fillId="0" borderId="5" xfId="0" applyFont="1" applyBorder="1" applyAlignment="1">
      <alignment horizontal="left"/>
    </xf>
    <xf numFmtId="0" fontId="84" fillId="0" borderId="6" xfId="0" applyFont="1" applyBorder="1"/>
    <xf numFmtId="0" fontId="83" fillId="0" borderId="7" xfId="0" applyFont="1" applyBorder="1" applyAlignment="1">
      <alignment horizontal="left"/>
    </xf>
    <xf numFmtId="0" fontId="83" fillId="0" borderId="8" xfId="0" applyFont="1" applyBorder="1" applyAlignment="1">
      <alignment horizontal="left"/>
    </xf>
    <xf numFmtId="0" fontId="83" fillId="0" borderId="9" xfId="0" applyFont="1" applyBorder="1" applyAlignment="1">
      <alignment horizontal="left"/>
    </xf>
    <xf numFmtId="0" fontId="84" fillId="0" borderId="10" xfId="0" applyFont="1" applyBorder="1"/>
    <xf numFmtId="0" fontId="87" fillId="0" borderId="7" xfId="0" applyFont="1" applyBorder="1" applyAlignment="1">
      <alignment horizontal="left"/>
    </xf>
    <xf numFmtId="0" fontId="83" fillId="0" borderId="38" xfId="0" applyFont="1" applyBorder="1" applyAlignment="1">
      <alignment horizontal="left"/>
    </xf>
    <xf numFmtId="0" fontId="83" fillId="0" borderId="43" xfId="0" applyFont="1" applyBorder="1" applyAlignment="1">
      <alignment horizontal="left"/>
    </xf>
    <xf numFmtId="0" fontId="83" fillId="0" borderId="1" xfId="0" applyFont="1" applyBorder="1" applyAlignment="1">
      <alignment horizontal="left"/>
    </xf>
    <xf numFmtId="0" fontId="84" fillId="0" borderId="2" xfId="0" applyFont="1" applyBorder="1"/>
    <xf numFmtId="0" fontId="83" fillId="0" borderId="3" xfId="0" applyFont="1" applyBorder="1" applyAlignment="1">
      <alignment horizontal="left"/>
    </xf>
    <xf numFmtId="0" fontId="84" fillId="0" borderId="4" xfId="0" applyFont="1" applyBorder="1"/>
    <xf numFmtId="0" fontId="87" fillId="0" borderId="5" xfId="0" applyFont="1" applyBorder="1" applyAlignment="1">
      <alignment horizontal="left"/>
    </xf>
    <xf numFmtId="10" fontId="83" fillId="0" borderId="7" xfId="0" applyNumberFormat="1" applyFont="1" applyBorder="1" applyAlignment="1">
      <alignment horizontal="left"/>
    </xf>
    <xf numFmtId="0" fontId="85" fillId="0" borderId="7" xfId="0" applyFont="1" applyBorder="1" applyAlignment="1">
      <alignment horizontal="left"/>
    </xf>
    <xf numFmtId="0" fontId="85" fillId="0" borderId="9" xfId="0" applyFont="1" applyBorder="1" applyAlignment="1">
      <alignment horizontal="left"/>
    </xf>
    <xf numFmtId="0" fontId="85" fillId="0" borderId="10" xfId="0" applyFont="1" applyBorder="1" applyAlignment="1">
      <alignment horizontal="left"/>
    </xf>
    <xf numFmtId="165" fontId="20" fillId="0" borderId="18" xfId="0" applyNumberFormat="1" applyFont="1" applyBorder="1" applyAlignment="1">
      <alignment horizontal="right"/>
    </xf>
    <xf numFmtId="165" fontId="20" fillId="0" borderId="43" xfId="0" applyNumberFormat="1" applyFont="1" applyBorder="1" applyAlignment="1">
      <alignment horizontal="right"/>
    </xf>
    <xf numFmtId="170" fontId="20" fillId="0" borderId="18" xfId="0" applyNumberFormat="1" applyFont="1" applyBorder="1" applyAlignment="1">
      <alignment horizontal="right"/>
    </xf>
    <xf numFmtId="170" fontId="20" fillId="0" borderId="8" xfId="0" applyNumberFormat="1" applyFont="1" applyBorder="1" applyAlignment="1">
      <alignment horizontal="right"/>
    </xf>
    <xf numFmtId="170" fontId="27" fillId="0" borderId="18" xfId="0" applyNumberFormat="1" applyFont="1" applyBorder="1" applyAlignment="1">
      <alignment horizontal="right"/>
    </xf>
    <xf numFmtId="170" fontId="27" fillId="0" borderId="8" xfId="0" applyNumberFormat="1" applyFont="1" applyBorder="1" applyAlignment="1">
      <alignment horizontal="right"/>
    </xf>
    <xf numFmtId="4" fontId="20" fillId="0" borderId="18" xfId="0" applyNumberFormat="1" applyFont="1" applyBorder="1" applyAlignment="1">
      <alignment horizontal="right"/>
    </xf>
    <xf numFmtId="174" fontId="20" fillId="0" borderId="18" xfId="0" applyNumberFormat="1" applyFont="1" applyBorder="1" applyAlignment="1">
      <alignment horizontal="right"/>
    </xf>
    <xf numFmtId="170" fontId="88" fillId="0" borderId="0" xfId="0" applyNumberFormat="1" applyFont="1" applyAlignment="1">
      <alignment horizontal="right"/>
    </xf>
    <xf numFmtId="170" fontId="88" fillId="0" borderId="18" xfId="0" applyNumberFormat="1" applyFont="1" applyBorder="1" applyAlignment="1">
      <alignment horizontal="right"/>
    </xf>
    <xf numFmtId="170" fontId="88" fillId="0" borderId="18" xfId="0" applyNumberFormat="1" applyFont="1" applyBorder="1" applyAlignment="1">
      <alignment horizontal="center"/>
    </xf>
    <xf numFmtId="170" fontId="88" fillId="0" borderId="18" xfId="0" applyNumberFormat="1" applyFont="1" applyBorder="1"/>
    <xf numFmtId="170" fontId="88" fillId="0" borderId="15" xfId="0" applyNumberFormat="1" applyFont="1" applyBorder="1" applyAlignment="1">
      <alignment horizontal="right"/>
    </xf>
    <xf numFmtId="170" fontId="79" fillId="0" borderId="18" xfId="0" applyNumberFormat="1" applyFont="1" applyBorder="1" applyAlignment="1">
      <alignment horizontal="right"/>
    </xf>
    <xf numFmtId="170" fontId="79" fillId="0" borderId="15" xfId="0" applyNumberFormat="1" applyFont="1" applyBorder="1" applyAlignment="1">
      <alignment horizontal="right"/>
    </xf>
    <xf numFmtId="165" fontId="20" fillId="18" borderId="43" xfId="0" applyNumberFormat="1" applyFont="1" applyFill="1" applyBorder="1" applyAlignment="1">
      <alignment horizontal="right"/>
    </xf>
    <xf numFmtId="170" fontId="20" fillId="18" borderId="18" xfId="0" applyNumberFormat="1" applyFont="1" applyFill="1" applyBorder="1" applyAlignment="1">
      <alignment horizontal="right"/>
    </xf>
    <xf numFmtId="170" fontId="20" fillId="18" borderId="18" xfId="0" applyNumberFormat="1" applyFont="1" applyFill="1" applyBorder="1"/>
    <xf numFmtId="170" fontId="27" fillId="18" borderId="18" xfId="0" applyNumberFormat="1" applyFont="1" applyFill="1" applyBorder="1"/>
    <xf numFmtId="170" fontId="88" fillId="18" borderId="15" xfId="0" applyNumberFormat="1" applyFont="1" applyFill="1" applyBorder="1" applyAlignment="1">
      <alignment horizontal="center"/>
    </xf>
    <xf numFmtId="170" fontId="88" fillId="18" borderId="15" xfId="0" applyNumberFormat="1" applyFont="1" applyFill="1" applyBorder="1" applyAlignment="1">
      <alignment horizontal="right"/>
    </xf>
    <xf numFmtId="170" fontId="79" fillId="18" borderId="15" xfId="0" applyNumberFormat="1" applyFont="1" applyFill="1" applyBorder="1" applyAlignment="1">
      <alignment horizontal="right"/>
    </xf>
    <xf numFmtId="165" fontId="14" fillId="18" borderId="19" xfId="0" applyNumberFormat="1" applyFont="1" applyFill="1" applyBorder="1"/>
    <xf numFmtId="0" fontId="14" fillId="18" borderId="15" xfId="0" applyFont="1" applyFill="1" applyBorder="1"/>
    <xf numFmtId="0" fontId="14" fillId="18" borderId="17" xfId="0" applyFont="1" applyFill="1" applyBorder="1"/>
    <xf numFmtId="0" fontId="2" fillId="18" borderId="31" xfId="0" applyFont="1" applyFill="1" applyBorder="1" applyAlignment="1">
      <alignment horizontal="right"/>
    </xf>
    <xf numFmtId="164" fontId="2" fillId="18" borderId="7" xfId="0" applyNumberFormat="1" applyFont="1" applyFill="1" applyBorder="1" applyAlignment="1">
      <alignment horizontal="right"/>
    </xf>
    <xf numFmtId="164" fontId="2" fillId="18" borderId="38" xfId="0" applyNumberFormat="1" applyFont="1" applyFill="1" applyBorder="1" applyAlignment="1">
      <alignment horizontal="right"/>
    </xf>
    <xf numFmtId="167" fontId="2" fillId="18" borderId="38" xfId="0" applyNumberFormat="1" applyFont="1" applyFill="1" applyBorder="1" applyAlignment="1">
      <alignment horizontal="right"/>
    </xf>
    <xf numFmtId="164" fontId="2" fillId="18" borderId="44" xfId="0" applyNumberFormat="1" applyFont="1" applyFill="1" applyBorder="1" applyAlignment="1">
      <alignment horizontal="right"/>
    </xf>
    <xf numFmtId="165" fontId="20" fillId="18" borderId="18" xfId="0" applyNumberFormat="1" applyFont="1" applyFill="1" applyBorder="1" applyAlignment="1">
      <alignment horizontal="right"/>
    </xf>
    <xf numFmtId="170" fontId="27" fillId="18" borderId="18" xfId="0" applyNumberFormat="1" applyFont="1" applyFill="1" applyBorder="1" applyAlignment="1">
      <alignment horizontal="right"/>
    </xf>
    <xf numFmtId="170" fontId="88" fillId="18" borderId="15" xfId="0" applyNumberFormat="1" applyFont="1" applyFill="1" applyBorder="1"/>
    <xf numFmtId="0" fontId="14" fillId="18" borderId="38" xfId="0" applyFont="1" applyFill="1" applyBorder="1"/>
    <xf numFmtId="0" fontId="14" fillId="18" borderId="44" xfId="0" applyFont="1" applyFill="1" applyBorder="1"/>
    <xf numFmtId="0" fontId="2" fillId="18" borderId="14" xfId="0" applyFont="1" applyFill="1" applyBorder="1" applyAlignment="1">
      <alignment horizontal="right"/>
    </xf>
    <xf numFmtId="170" fontId="88" fillId="18" borderId="18" xfId="0" applyNumberFormat="1" applyFont="1" applyFill="1" applyBorder="1" applyAlignment="1">
      <alignment horizontal="right"/>
    </xf>
    <xf numFmtId="165" fontId="14" fillId="18" borderId="20" xfId="0" applyNumberFormat="1" applyFont="1" applyFill="1" applyBorder="1"/>
    <xf numFmtId="164" fontId="14" fillId="18" borderId="15" xfId="0" applyNumberFormat="1" applyFont="1" applyFill="1" applyBorder="1"/>
    <xf numFmtId="164" fontId="14" fillId="18" borderId="17" xfId="0" applyNumberFormat="1" applyFont="1" applyFill="1" applyBorder="1"/>
    <xf numFmtId="164" fontId="2" fillId="18" borderId="31" xfId="0" applyNumberFormat="1" applyFont="1" applyFill="1" applyBorder="1" applyAlignment="1">
      <alignment horizontal="right"/>
    </xf>
    <xf numFmtId="165" fontId="15" fillId="18" borderId="18" xfId="0" applyNumberFormat="1" applyFont="1" applyFill="1" applyBorder="1"/>
    <xf numFmtId="170" fontId="15" fillId="18" borderId="18" xfId="0" applyNumberFormat="1" applyFont="1" applyFill="1" applyBorder="1" applyAlignment="1">
      <alignment horizontal="right"/>
    </xf>
    <xf numFmtId="170" fontId="38" fillId="18" borderId="18" xfId="0" applyNumberFormat="1" applyFont="1" applyFill="1" applyBorder="1" applyAlignment="1">
      <alignment horizontal="right"/>
    </xf>
    <xf numFmtId="3" fontId="15" fillId="18" borderId="16" xfId="0" applyNumberFormat="1" applyFont="1" applyFill="1" applyBorder="1" applyAlignment="1">
      <alignment horizontal="right"/>
    </xf>
    <xf numFmtId="170" fontId="20" fillId="18" borderId="0" xfId="0" applyNumberFormat="1" applyFont="1" applyFill="1"/>
    <xf numFmtId="4" fontId="27" fillId="18" borderId="0" xfId="0" applyNumberFormat="1" applyFont="1" applyFill="1"/>
    <xf numFmtId="170" fontId="15" fillId="18" borderId="15" xfId="0" applyNumberFormat="1" applyFont="1" applyFill="1" applyBorder="1" applyAlignment="1">
      <alignment horizontal="center"/>
    </xf>
    <xf numFmtId="170" fontId="10" fillId="18" borderId="15" xfId="0" applyNumberFormat="1" applyFont="1" applyFill="1" applyBorder="1" applyAlignment="1">
      <alignment horizontal="right"/>
    </xf>
    <xf numFmtId="0" fontId="14" fillId="18" borderId="11" xfId="0" applyFont="1" applyFill="1" applyBorder="1"/>
    <xf numFmtId="0" fontId="14" fillId="18" borderId="45" xfId="0" applyFont="1" applyFill="1" applyBorder="1"/>
    <xf numFmtId="170" fontId="38" fillId="18" borderId="8" xfId="0" applyNumberFormat="1" applyFont="1" applyFill="1" applyBorder="1" applyAlignment="1">
      <alignment horizontal="right"/>
    </xf>
    <xf numFmtId="165" fontId="2" fillId="18" borderId="8" xfId="0" applyNumberFormat="1" applyFont="1" applyFill="1" applyBorder="1" applyAlignment="1">
      <alignment horizontal="right"/>
    </xf>
    <xf numFmtId="170" fontId="41" fillId="18" borderId="8" xfId="0" applyNumberFormat="1" applyFont="1" applyFill="1" applyBorder="1" applyAlignment="1">
      <alignment horizontal="right"/>
    </xf>
    <xf numFmtId="170" fontId="15" fillId="18" borderId="18" xfId="0" applyNumberFormat="1" applyFont="1" applyFill="1" applyBorder="1" applyAlignment="1">
      <alignment horizontal="center"/>
    </xf>
    <xf numFmtId="170" fontId="17" fillId="18" borderId="8" xfId="0" applyNumberFormat="1" applyFont="1" applyFill="1" applyBorder="1" applyAlignment="1">
      <alignment horizontal="right"/>
    </xf>
    <xf numFmtId="165" fontId="17" fillId="18" borderId="8" xfId="0" applyNumberFormat="1" applyFont="1" applyFill="1" applyBorder="1"/>
    <xf numFmtId="165" fontId="17" fillId="18" borderId="8" xfId="0" applyNumberFormat="1" applyFont="1" applyFill="1" applyBorder="1" applyAlignment="1">
      <alignment horizontal="right"/>
    </xf>
    <xf numFmtId="0" fontId="2" fillId="18" borderId="18" xfId="0" applyFont="1" applyFill="1" applyBorder="1" applyAlignment="1">
      <alignment horizontal="right"/>
    </xf>
    <xf numFmtId="0" fontId="2" fillId="18" borderId="27" xfId="0" applyFont="1" applyFill="1" applyBorder="1" applyAlignment="1">
      <alignment horizontal="right"/>
    </xf>
    <xf numFmtId="167" fontId="2" fillId="18" borderId="18" xfId="0" applyNumberFormat="1" applyFont="1" applyFill="1" applyBorder="1" applyAlignment="1">
      <alignment horizontal="right"/>
    </xf>
    <xf numFmtId="0" fontId="19" fillId="18" borderId="19" xfId="0" applyFont="1" applyFill="1" applyBorder="1"/>
    <xf numFmtId="0" fontId="19" fillId="18" borderId="27" xfId="0" applyFont="1" applyFill="1" applyBorder="1"/>
    <xf numFmtId="165" fontId="2" fillId="0" borderId="18" xfId="0" applyNumberFormat="1" applyFont="1" applyFill="1" applyBorder="1" applyAlignment="1">
      <alignment horizontal="right"/>
    </xf>
    <xf numFmtId="170" fontId="15" fillId="0" borderId="18" xfId="0" applyNumberFormat="1" applyFont="1" applyFill="1" applyBorder="1" applyAlignment="1">
      <alignment horizontal="right"/>
    </xf>
    <xf numFmtId="170" fontId="38" fillId="0" borderId="18" xfId="0" applyNumberFormat="1" applyFont="1" applyFill="1" applyBorder="1" applyAlignment="1">
      <alignment horizontal="right"/>
    </xf>
    <xf numFmtId="0" fontId="20" fillId="0" borderId="18" xfId="0" applyFont="1" applyFill="1" applyBorder="1"/>
    <xf numFmtId="165" fontId="2" fillId="0" borderId="8" xfId="0" applyNumberFormat="1" applyFont="1" applyFill="1" applyBorder="1" applyAlignment="1">
      <alignment horizontal="right"/>
    </xf>
    <xf numFmtId="170" fontId="41" fillId="0" borderId="8" xfId="0" applyNumberFormat="1" applyFont="1" applyFill="1" applyBorder="1" applyAlignment="1">
      <alignment horizontal="right"/>
    </xf>
    <xf numFmtId="170" fontId="15" fillId="0" borderId="18" xfId="0" applyNumberFormat="1" applyFont="1" applyFill="1" applyBorder="1" applyAlignment="1">
      <alignment horizontal="center"/>
    </xf>
    <xf numFmtId="170" fontId="17" fillId="0" borderId="8" xfId="0" applyNumberFormat="1" applyFont="1" applyFill="1" applyBorder="1" applyAlignment="1">
      <alignment horizontal="right"/>
    </xf>
    <xf numFmtId="165" fontId="17" fillId="0" borderId="8" xfId="0" applyNumberFormat="1" applyFont="1" applyFill="1" applyBorder="1"/>
    <xf numFmtId="165" fontId="2" fillId="0" borderId="18" xfId="0" applyNumberFormat="1" applyFont="1" applyFill="1" applyBorder="1"/>
    <xf numFmtId="165" fontId="17" fillId="0" borderId="8" xfId="0" applyNumberFormat="1" applyFont="1" applyFill="1" applyBorder="1" applyAlignment="1">
      <alignment horizontal="right"/>
    </xf>
    <xf numFmtId="165" fontId="14" fillId="0" borderId="20" xfId="0" applyNumberFormat="1" applyFont="1" applyFill="1" applyBorder="1"/>
    <xf numFmtId="0" fontId="2" fillId="0" borderId="18" xfId="0" applyFont="1" applyFill="1" applyBorder="1" applyAlignment="1">
      <alignment horizontal="right"/>
    </xf>
    <xf numFmtId="0" fontId="2" fillId="0" borderId="27" xfId="0" applyFont="1" applyFill="1" applyBorder="1" applyAlignment="1">
      <alignment horizontal="right"/>
    </xf>
    <xf numFmtId="164" fontId="2" fillId="0" borderId="18" xfId="0" applyNumberFormat="1" applyFont="1" applyFill="1" applyBorder="1" applyAlignment="1">
      <alignment horizontal="right"/>
    </xf>
    <xf numFmtId="167" fontId="2" fillId="0" borderId="18" xfId="0" applyNumberFormat="1" applyFont="1" applyFill="1" applyBorder="1" applyAlignment="1">
      <alignment horizontal="right"/>
    </xf>
    <xf numFmtId="164" fontId="2" fillId="0" borderId="24" xfId="0" applyNumberFormat="1" applyFont="1" applyFill="1" applyBorder="1" applyAlignment="1">
      <alignment horizontal="right"/>
    </xf>
    <xf numFmtId="0" fontId="2" fillId="18" borderId="11" xfId="0" applyFont="1" applyFill="1" applyBorder="1" applyAlignment="1">
      <alignment horizontal="right"/>
    </xf>
    <xf numFmtId="175" fontId="2" fillId="18" borderId="15" xfId="0" applyNumberFormat="1" applyFont="1" applyFill="1" applyBorder="1" applyAlignment="1">
      <alignment horizontal="right"/>
    </xf>
    <xf numFmtId="176" fontId="2" fillId="18" borderId="17" xfId="0" applyNumberFormat="1" applyFont="1" applyFill="1" applyBorder="1" applyAlignment="1">
      <alignment horizontal="right"/>
    </xf>
    <xf numFmtId="0" fontId="2" fillId="18" borderId="29" xfId="0" applyFont="1" applyFill="1" applyBorder="1" applyAlignment="1">
      <alignment horizontal="right"/>
    </xf>
    <xf numFmtId="0" fontId="2" fillId="18" borderId="38" xfId="0" applyFont="1" applyFill="1" applyBorder="1" applyAlignment="1">
      <alignment horizontal="right"/>
    </xf>
    <xf numFmtId="10" fontId="2" fillId="18" borderId="7" xfId="0" applyNumberFormat="1" applyFont="1" applyFill="1" applyBorder="1" applyAlignment="1">
      <alignment horizontal="right"/>
    </xf>
    <xf numFmtId="175" fontId="2" fillId="18" borderId="11" xfId="0" applyNumberFormat="1" applyFont="1" applyFill="1" applyBorder="1" applyAlignment="1">
      <alignment horizontal="right"/>
    </xf>
    <xf numFmtId="176" fontId="2" fillId="18" borderId="45" xfId="0" applyNumberFormat="1" applyFont="1" applyFill="1" applyBorder="1" applyAlignment="1">
      <alignment horizontal="right"/>
    </xf>
    <xf numFmtId="164" fontId="2" fillId="18" borderId="14" xfId="0" applyNumberFormat="1" applyFont="1" applyFill="1" applyBorder="1" applyAlignment="1">
      <alignment horizontal="right"/>
    </xf>
    <xf numFmtId="164" fontId="2" fillId="18" borderId="15" xfId="0" applyNumberFormat="1" applyFont="1" applyFill="1" applyBorder="1" applyAlignment="1">
      <alignment horizontal="right"/>
    </xf>
    <xf numFmtId="0" fontId="2" fillId="18" borderId="20" xfId="0" applyFont="1" applyFill="1" applyBorder="1" applyAlignment="1">
      <alignment horizontal="right"/>
    </xf>
    <xf numFmtId="0" fontId="2" fillId="18" borderId="0" xfId="0" applyFont="1" applyFill="1" applyAlignment="1">
      <alignment horizontal="right"/>
    </xf>
    <xf numFmtId="175" fontId="2" fillId="18" borderId="18" xfId="0" applyNumberFormat="1" applyFont="1" applyFill="1" applyBorder="1" applyAlignment="1">
      <alignment horizontal="right"/>
    </xf>
    <xf numFmtId="0" fontId="2" fillId="18" borderId="36" xfId="0" applyFont="1" applyFill="1" applyBorder="1" applyAlignment="1">
      <alignment horizontal="right"/>
    </xf>
    <xf numFmtId="0" fontId="2" fillId="18" borderId="24" xfId="0"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36"/>
  <sheetViews>
    <sheetView showGridLines="0" tabSelected="1" workbookViewId="0">
      <pane xSplit="3" ySplit="14" topLeftCell="AJ279" activePane="bottomRight" state="frozen"/>
      <selection pane="topRight" activeCell="D1" sqref="D1"/>
      <selection pane="bottomLeft" activeCell="A15" sqref="A15"/>
      <selection pane="bottomRight" activeCell="AQ233" sqref="AQ233:AQ240"/>
    </sheetView>
  </sheetViews>
  <sheetFormatPr defaultColWidth="14.44140625" defaultRowHeight="15" customHeight="1" outlineLevelRow="1"/>
  <cols>
    <col min="1" max="1" width="2.6640625" customWidth="1"/>
    <col min="2" max="2" width="45.6640625" customWidth="1"/>
    <col min="3" max="3" width="24.44140625" customWidth="1"/>
    <col min="4" max="54" width="14.6640625" customWidth="1"/>
    <col min="55" max="55" width="12.88671875" customWidth="1"/>
    <col min="56" max="66" width="8.6640625" customWidth="1"/>
  </cols>
  <sheetData>
    <row r="1" spans="1:66" ht="14.4">
      <c r="B1" s="1"/>
      <c r="C1" s="1"/>
      <c r="D1" s="2"/>
      <c r="E1" s="2"/>
      <c r="F1" s="3"/>
      <c r="G1" s="3"/>
      <c r="H1" s="3"/>
      <c r="I1" s="2"/>
      <c r="J1" s="4"/>
      <c r="K1" s="3"/>
      <c r="L1" s="3"/>
      <c r="M1" s="3"/>
      <c r="N1" s="2"/>
      <c r="O1" s="2"/>
      <c r="P1" s="2"/>
      <c r="Q1" s="2"/>
      <c r="R1" s="2"/>
      <c r="S1" s="2"/>
      <c r="T1" s="2"/>
      <c r="U1" s="3"/>
      <c r="V1" s="3"/>
      <c r="W1" s="3"/>
      <c r="X1" s="2"/>
      <c r="Y1" s="2"/>
      <c r="Z1" s="3"/>
      <c r="AA1" s="3"/>
      <c r="AB1" s="3"/>
      <c r="AC1" s="2"/>
      <c r="AD1" s="2"/>
      <c r="AE1" s="3"/>
      <c r="AF1" s="3"/>
      <c r="AG1" s="3"/>
      <c r="AH1" s="2"/>
      <c r="AI1" s="2"/>
      <c r="AJ1" s="3"/>
      <c r="AK1" s="3"/>
      <c r="AL1" s="3"/>
    </row>
    <row r="2" spans="1:66" ht="14.4">
      <c r="B2" s="787" t="s">
        <v>0</v>
      </c>
      <c r="C2" s="769"/>
      <c r="D2" s="5"/>
      <c r="E2" s="2"/>
      <c r="F2" s="3"/>
      <c r="G2" s="4"/>
      <c r="H2" s="4"/>
      <c r="I2" s="2"/>
      <c r="J2" s="4"/>
      <c r="K2" s="3"/>
      <c r="L2" s="3"/>
      <c r="M2" s="3"/>
      <c r="N2" s="2"/>
      <c r="O2" s="2"/>
      <c r="P2" s="2"/>
      <c r="Q2" s="2"/>
      <c r="R2" s="2"/>
      <c r="S2" s="2"/>
      <c r="T2" s="2"/>
      <c r="U2" s="3"/>
      <c r="V2" s="3"/>
      <c r="W2" s="3"/>
      <c r="X2" s="2"/>
      <c r="Y2" s="2"/>
      <c r="Z2" s="3"/>
      <c r="AA2" s="3"/>
      <c r="AB2" s="3"/>
      <c r="AC2" s="2"/>
      <c r="AD2" s="2"/>
      <c r="AE2" s="3"/>
      <c r="AF2" s="3"/>
      <c r="AG2" s="3"/>
      <c r="AH2" s="2"/>
      <c r="AI2" s="2"/>
      <c r="AJ2" s="3"/>
      <c r="AK2" s="3"/>
      <c r="AL2" s="3"/>
    </row>
    <row r="3" spans="1:66" ht="14.4">
      <c r="B3" s="787" t="s">
        <v>1</v>
      </c>
      <c r="C3" s="769"/>
      <c r="D3" s="5"/>
      <c r="E3" s="2"/>
      <c r="F3" s="3"/>
      <c r="G3" s="4"/>
      <c r="H3" s="4"/>
      <c r="I3" s="2"/>
      <c r="J3" s="4"/>
      <c r="K3" s="3"/>
      <c r="L3" s="3"/>
      <c r="M3" s="3"/>
      <c r="N3" s="2"/>
      <c r="O3" s="2"/>
      <c r="P3" s="2"/>
      <c r="Q3" s="2"/>
      <c r="R3" s="2"/>
      <c r="S3" s="2"/>
      <c r="T3" s="2"/>
      <c r="U3" s="3"/>
      <c r="V3" s="3"/>
      <c r="W3" s="3"/>
      <c r="X3" s="2"/>
      <c r="Y3" s="2"/>
      <c r="Z3" s="3"/>
      <c r="AA3" s="3"/>
      <c r="AB3" s="3"/>
      <c r="AC3" s="2"/>
      <c r="AD3" s="2"/>
      <c r="AE3" s="3"/>
      <c r="AF3" s="3"/>
      <c r="AG3" s="3"/>
      <c r="AH3" s="2"/>
      <c r="AI3" s="2"/>
      <c r="AJ3" s="3"/>
      <c r="AK3" s="3"/>
      <c r="AL3" s="3"/>
      <c r="BN3" s="6" t="s">
        <v>2</v>
      </c>
    </row>
    <row r="4" spans="1:66" ht="14.4">
      <c r="B4" s="788" t="s">
        <v>3</v>
      </c>
      <c r="C4" s="770"/>
      <c r="D4" s="7"/>
      <c r="E4" s="5"/>
      <c r="F4" s="5"/>
      <c r="G4" s="4"/>
      <c r="H4" s="4"/>
      <c r="I4" s="4"/>
      <c r="J4" s="4"/>
      <c r="K4" s="4"/>
      <c r="L4" s="4"/>
      <c r="M4" s="5"/>
      <c r="N4" s="5"/>
      <c r="O4" s="5"/>
      <c r="P4" s="5"/>
      <c r="Q4" s="5"/>
      <c r="R4" s="5"/>
      <c r="S4" s="5"/>
      <c r="T4" s="5"/>
      <c r="U4" s="5"/>
      <c r="V4" s="5"/>
      <c r="W4" s="5"/>
      <c r="X4" s="5"/>
      <c r="Y4" s="5"/>
      <c r="Z4" s="5"/>
      <c r="AA4" s="5"/>
      <c r="AB4" s="5"/>
      <c r="AC4" s="5"/>
      <c r="AD4" s="5"/>
      <c r="AE4" s="5"/>
      <c r="AF4" s="5"/>
      <c r="AG4" s="5"/>
      <c r="AH4" s="5"/>
      <c r="AI4" s="5"/>
      <c r="AJ4" s="5"/>
      <c r="AK4" s="5"/>
      <c r="AL4" s="5"/>
    </row>
    <row r="5" spans="1:66" ht="14.4">
      <c r="B5" s="1"/>
      <c r="C5" s="8"/>
      <c r="D5" s="9"/>
      <c r="E5" s="9"/>
      <c r="F5" s="9"/>
      <c r="G5" s="9"/>
      <c r="H5" s="10"/>
      <c r="I5" s="9"/>
      <c r="J5" s="10"/>
      <c r="K5" s="9"/>
      <c r="L5" s="5"/>
      <c r="M5" s="5"/>
      <c r="N5" s="9"/>
      <c r="O5" s="11"/>
      <c r="P5" s="11"/>
      <c r="Q5" s="11"/>
      <c r="R5" s="11"/>
      <c r="S5" s="11"/>
      <c r="T5" s="11"/>
      <c r="U5" s="9"/>
      <c r="V5" s="5"/>
      <c r="W5" s="5"/>
      <c r="X5" s="9"/>
      <c r="Y5" s="9"/>
      <c r="Z5" s="9"/>
      <c r="AA5" s="12"/>
      <c r="AB5" s="12"/>
      <c r="AC5" s="9"/>
      <c r="AD5" s="9"/>
      <c r="AE5" s="9"/>
      <c r="AF5" s="12"/>
      <c r="AG5" s="12"/>
      <c r="AH5" s="9"/>
      <c r="AI5" s="9"/>
      <c r="AJ5" s="9"/>
      <c r="AK5" s="12"/>
      <c r="AL5" s="12"/>
    </row>
    <row r="6" spans="1:66" ht="14.4">
      <c r="B6" s="13" t="s">
        <v>4</v>
      </c>
      <c r="C6" s="725">
        <f>DDM!C18</f>
        <v>204.3735124520289</v>
      </c>
      <c r="D6" s="9"/>
      <c r="E6" s="9"/>
      <c r="F6" s="9"/>
      <c r="G6" s="9"/>
      <c r="H6" s="10"/>
      <c r="I6" s="9"/>
      <c r="J6" s="10"/>
      <c r="K6" s="9"/>
      <c r="L6" s="5"/>
      <c r="M6" s="5"/>
      <c r="N6" s="9"/>
      <c r="O6" s="11"/>
      <c r="P6" s="11"/>
      <c r="Q6" s="11"/>
      <c r="R6" s="11"/>
      <c r="S6" s="11"/>
      <c r="T6" s="11"/>
      <c r="U6" s="9"/>
      <c r="V6" s="5"/>
      <c r="W6" s="5"/>
      <c r="X6" s="9"/>
      <c r="Y6" s="9"/>
      <c r="Z6" s="9"/>
      <c r="AA6" s="12"/>
      <c r="AB6" s="12"/>
      <c r="AC6" s="9"/>
      <c r="AD6" s="9"/>
      <c r="AE6" s="9"/>
      <c r="AF6" s="12"/>
      <c r="AG6" s="12"/>
      <c r="AH6" s="9"/>
      <c r="AI6" s="9"/>
      <c r="AJ6" s="9"/>
      <c r="AK6" s="12"/>
      <c r="AL6" s="12"/>
    </row>
    <row r="7" spans="1:66" ht="14.4">
      <c r="B7" s="14" t="s">
        <v>5</v>
      </c>
      <c r="C7" s="463">
        <f>C256</f>
        <v>381.43068689979265</v>
      </c>
      <c r="D7" s="9"/>
      <c r="E7" s="9"/>
      <c r="F7" s="9"/>
      <c r="G7" s="9"/>
      <c r="H7" s="10"/>
      <c r="I7" s="9"/>
      <c r="J7" s="10"/>
      <c r="K7" s="9"/>
      <c r="L7" s="5"/>
      <c r="M7" s="5"/>
      <c r="N7" s="9"/>
      <c r="O7" s="11"/>
      <c r="P7" s="11"/>
      <c r="Q7" s="11"/>
      <c r="R7" s="11"/>
      <c r="S7" s="11"/>
      <c r="T7" s="11"/>
      <c r="U7" s="9"/>
      <c r="V7" s="5"/>
      <c r="W7" s="5"/>
      <c r="X7" s="9"/>
      <c r="Y7" s="9"/>
      <c r="Z7" s="9"/>
      <c r="AA7" s="12"/>
      <c r="AB7" s="12"/>
      <c r="AC7" s="9"/>
      <c r="AD7" s="9"/>
      <c r="AE7" s="9"/>
      <c r="AF7" s="12"/>
      <c r="AG7" s="12"/>
      <c r="AH7" s="9"/>
      <c r="AI7" s="9"/>
      <c r="AJ7" s="9"/>
      <c r="AK7" s="12"/>
      <c r="AL7" s="12"/>
    </row>
    <row r="8" spans="1:66" ht="14.4">
      <c r="B8" s="14" t="s">
        <v>6</v>
      </c>
      <c r="C8" s="464">
        <f>C285</f>
        <v>323.0197960740191</v>
      </c>
      <c r="D8" s="9"/>
      <c r="E8" s="9"/>
      <c r="F8" s="9"/>
      <c r="G8" s="9"/>
      <c r="H8" s="10"/>
      <c r="I8" s="9"/>
      <c r="J8" s="10"/>
      <c r="K8" s="9"/>
      <c r="L8" s="5"/>
      <c r="M8" s="5"/>
      <c r="N8" s="9"/>
      <c r="O8" s="11"/>
      <c r="P8" s="11"/>
      <c r="Q8" s="11"/>
      <c r="R8" s="11"/>
      <c r="S8" s="11"/>
      <c r="T8" s="11"/>
      <c r="U8" s="9"/>
      <c r="V8" s="5"/>
      <c r="W8" s="5"/>
      <c r="X8" s="9"/>
      <c r="Y8" s="9"/>
      <c r="Z8" s="9"/>
      <c r="AA8" s="12"/>
      <c r="AB8" s="12"/>
      <c r="AC8" s="9"/>
      <c r="AD8" s="9"/>
      <c r="AE8" s="9"/>
      <c r="AF8" s="12"/>
      <c r="AG8" s="12"/>
      <c r="AH8" s="9"/>
      <c r="AI8" s="9"/>
      <c r="AJ8" s="9"/>
      <c r="AK8" s="12"/>
      <c r="AL8" s="12"/>
    </row>
    <row r="9" spans="1:66" ht="14.4">
      <c r="B9" s="14" t="s">
        <v>521</v>
      </c>
      <c r="C9" s="465">
        <f>0.6*C6+0.2*C7+0.2*C8</f>
        <v>263.5142040659797</v>
      </c>
      <c r="D9" s="9"/>
      <c r="E9" s="9"/>
      <c r="F9" s="9"/>
      <c r="G9" s="9"/>
      <c r="H9" s="10"/>
      <c r="I9" s="9"/>
      <c r="J9" s="10"/>
      <c r="K9" s="9"/>
      <c r="L9" s="5"/>
      <c r="M9" s="5"/>
      <c r="N9" s="9"/>
      <c r="O9" s="11"/>
      <c r="P9" s="11"/>
      <c r="Q9" s="11"/>
      <c r="R9" s="11"/>
      <c r="S9" s="11"/>
      <c r="T9" s="11"/>
      <c r="U9" s="9"/>
      <c r="V9" s="5"/>
      <c r="W9" s="5"/>
      <c r="X9" s="9"/>
      <c r="Y9" s="9"/>
      <c r="Z9" s="9"/>
      <c r="AA9" s="12"/>
      <c r="AB9" s="12"/>
      <c r="AC9" s="9"/>
      <c r="AD9" s="9"/>
      <c r="AE9" s="9"/>
      <c r="AF9" s="12"/>
      <c r="AG9" s="12"/>
      <c r="AH9" s="9"/>
      <c r="AI9" s="9"/>
      <c r="AJ9" s="9"/>
      <c r="AK9" s="12"/>
      <c r="AL9" s="12"/>
    </row>
    <row r="10" spans="1:66" ht="14.4">
      <c r="B10" s="467" t="s">
        <v>7</v>
      </c>
      <c r="C10" s="466" t="s">
        <v>523</v>
      </c>
      <c r="D10" s="9"/>
      <c r="E10" s="9"/>
      <c r="F10" s="9"/>
      <c r="G10" s="9"/>
      <c r="H10" s="10"/>
      <c r="I10" s="9"/>
      <c r="J10" s="10"/>
      <c r="K10" s="9"/>
      <c r="L10" s="5"/>
      <c r="M10" s="5"/>
      <c r="N10" s="9"/>
      <c r="O10" s="11"/>
      <c r="P10" s="11"/>
      <c r="Q10" s="11"/>
      <c r="R10" s="11"/>
      <c r="S10" s="11"/>
      <c r="T10" s="11"/>
      <c r="U10" s="9"/>
      <c r="V10" s="5"/>
      <c r="W10" s="5"/>
      <c r="X10" s="9"/>
      <c r="Y10" s="9"/>
      <c r="Z10" s="9"/>
      <c r="AA10" s="12"/>
      <c r="AB10" s="12"/>
      <c r="AC10" s="9"/>
      <c r="AD10" s="9"/>
      <c r="AE10" s="9"/>
      <c r="AF10" s="12"/>
      <c r="AG10" s="12"/>
      <c r="AH10" s="9"/>
      <c r="AI10" s="9"/>
      <c r="AJ10" s="9"/>
      <c r="AK10" s="12"/>
      <c r="AL10" s="12"/>
    </row>
    <row r="11" spans="1:66" ht="14.4">
      <c r="B11" s="1"/>
      <c r="C11" s="8"/>
      <c r="D11" s="9"/>
      <c r="E11" s="9"/>
      <c r="F11" s="9"/>
      <c r="G11" s="9"/>
      <c r="H11" s="10"/>
      <c r="I11" s="9"/>
      <c r="J11" s="10"/>
      <c r="K11" s="9"/>
      <c r="L11" s="5"/>
      <c r="M11" s="5"/>
      <c r="N11" s="9"/>
      <c r="O11" s="11"/>
      <c r="P11" s="11"/>
      <c r="Q11" s="11"/>
      <c r="R11" s="11"/>
      <c r="S11" s="11"/>
      <c r="T11" s="11"/>
      <c r="U11" s="9"/>
      <c r="V11" s="5"/>
      <c r="W11" s="5"/>
      <c r="X11" s="9"/>
      <c r="Y11" s="9"/>
      <c r="Z11" s="9"/>
      <c r="AA11" s="12"/>
      <c r="AB11" s="12"/>
      <c r="AC11" s="9"/>
      <c r="AD11" s="9"/>
      <c r="AE11" s="9"/>
      <c r="AF11" s="12"/>
      <c r="AG11" s="12"/>
      <c r="AH11" s="9"/>
      <c r="AI11" s="9"/>
      <c r="AJ11" s="9"/>
      <c r="AK11" s="12"/>
      <c r="AL11" s="12"/>
    </row>
    <row r="12" spans="1:66" ht="14.4">
      <c r="B12" s="1"/>
      <c r="C12" s="8"/>
      <c r="D12" s="9"/>
      <c r="E12" s="9"/>
      <c r="F12" s="9"/>
      <c r="G12" s="9"/>
      <c r="H12" s="10"/>
      <c r="I12" s="9"/>
      <c r="J12" s="10"/>
      <c r="K12" s="9"/>
      <c r="L12" s="5"/>
      <c r="M12" s="5"/>
      <c r="N12" s="9"/>
      <c r="O12" s="11"/>
      <c r="P12" s="11"/>
      <c r="Q12" s="11"/>
      <c r="R12" s="11"/>
      <c r="S12" s="11"/>
      <c r="T12" s="11"/>
      <c r="U12" s="9"/>
      <c r="V12" s="5"/>
      <c r="W12" s="5"/>
      <c r="X12" s="9"/>
      <c r="Y12" s="9"/>
      <c r="Z12" s="9"/>
      <c r="AA12" s="15"/>
      <c r="AB12" s="15"/>
      <c r="AC12" s="9"/>
      <c r="AD12" s="9"/>
      <c r="AE12" s="9"/>
      <c r="AF12" s="15"/>
      <c r="AG12" s="15"/>
      <c r="AH12" s="9"/>
      <c r="AI12" s="9"/>
      <c r="AJ12" s="9"/>
      <c r="AK12" s="15"/>
      <c r="AL12" s="15"/>
    </row>
    <row r="13" spans="1:66" ht="14.4">
      <c r="A13" s="16"/>
      <c r="B13" s="781" t="s">
        <v>8</v>
      </c>
      <c r="C13" s="782"/>
      <c r="D13" s="468" t="s">
        <v>9</v>
      </c>
      <c r="E13" s="468" t="s">
        <v>10</v>
      </c>
      <c r="F13" s="469" t="s">
        <v>11</v>
      </c>
      <c r="G13" s="468" t="s">
        <v>12</v>
      </c>
      <c r="H13" s="468" t="s">
        <v>12</v>
      </c>
      <c r="I13" s="468" t="s">
        <v>13</v>
      </c>
      <c r="J13" s="470" t="s">
        <v>14</v>
      </c>
      <c r="K13" s="468" t="s">
        <v>15</v>
      </c>
      <c r="L13" s="468" t="s">
        <v>16</v>
      </c>
      <c r="M13" s="468" t="s">
        <v>16</v>
      </c>
      <c r="N13" s="468" t="s">
        <v>17</v>
      </c>
      <c r="O13" s="468" t="s">
        <v>18</v>
      </c>
      <c r="P13" s="468" t="s">
        <v>19</v>
      </c>
      <c r="Q13" s="468" t="s">
        <v>20</v>
      </c>
      <c r="R13" s="468" t="s">
        <v>20</v>
      </c>
      <c r="S13" s="468" t="s">
        <v>21</v>
      </c>
      <c r="T13" s="468" t="s">
        <v>22</v>
      </c>
      <c r="U13" s="471" t="s">
        <v>23</v>
      </c>
      <c r="V13" s="471" t="s">
        <v>24</v>
      </c>
      <c r="W13" s="471" t="s">
        <v>24</v>
      </c>
      <c r="X13" s="471" t="s">
        <v>25</v>
      </c>
      <c r="Y13" s="471" t="s">
        <v>26</v>
      </c>
      <c r="Z13" s="471" t="s">
        <v>27</v>
      </c>
      <c r="AA13" s="475" t="s">
        <v>28</v>
      </c>
      <c r="AB13" s="475" t="s">
        <v>28</v>
      </c>
      <c r="AC13" s="476" t="s">
        <v>29</v>
      </c>
      <c r="AD13" s="476" t="s">
        <v>30</v>
      </c>
      <c r="AE13" s="476" t="s">
        <v>31</v>
      </c>
      <c r="AF13" s="476" t="s">
        <v>32</v>
      </c>
      <c r="AG13" s="476" t="s">
        <v>32</v>
      </c>
      <c r="AH13" s="476" t="s">
        <v>33</v>
      </c>
      <c r="AI13" s="476" t="s">
        <v>34</v>
      </c>
      <c r="AJ13" s="476" t="s">
        <v>35</v>
      </c>
      <c r="AK13" s="476" t="s">
        <v>36</v>
      </c>
      <c r="AL13" s="476" t="s">
        <v>36</v>
      </c>
      <c r="AM13" s="476" t="s">
        <v>37</v>
      </c>
      <c r="AN13" s="476" t="s">
        <v>38</v>
      </c>
      <c r="AO13" s="476" t="s">
        <v>39</v>
      </c>
      <c r="AP13" s="476" t="s">
        <v>40</v>
      </c>
      <c r="AQ13" s="476" t="s">
        <v>40</v>
      </c>
      <c r="AR13" s="6"/>
      <c r="AS13" s="6"/>
      <c r="AT13" s="6"/>
      <c r="AU13" s="6"/>
      <c r="AV13" s="6"/>
      <c r="AW13" s="6"/>
      <c r="AX13" s="6"/>
      <c r="AY13" s="6"/>
    </row>
    <row r="14" spans="1:66" ht="19.5" customHeight="1">
      <c r="A14" s="22"/>
      <c r="B14" s="783" t="s">
        <v>41</v>
      </c>
      <c r="C14" s="784"/>
      <c r="D14" s="472" t="s">
        <v>42</v>
      </c>
      <c r="E14" s="472" t="s">
        <v>43</v>
      </c>
      <c r="F14" s="472" t="s">
        <v>44</v>
      </c>
      <c r="G14" s="472" t="s">
        <v>45</v>
      </c>
      <c r="H14" s="472" t="s">
        <v>46</v>
      </c>
      <c r="I14" s="472" t="s">
        <v>47</v>
      </c>
      <c r="J14" s="473" t="s">
        <v>48</v>
      </c>
      <c r="K14" s="472" t="s">
        <v>49</v>
      </c>
      <c r="L14" s="472" t="s">
        <v>50</v>
      </c>
      <c r="M14" s="472" t="s">
        <v>51</v>
      </c>
      <c r="N14" s="472" t="s">
        <v>52</v>
      </c>
      <c r="O14" s="472" t="s">
        <v>53</v>
      </c>
      <c r="P14" s="472" t="s">
        <v>54</v>
      </c>
      <c r="Q14" s="472" t="s">
        <v>55</v>
      </c>
      <c r="R14" s="472" t="s">
        <v>56</v>
      </c>
      <c r="S14" s="472" t="s">
        <v>57</v>
      </c>
      <c r="T14" s="472" t="s">
        <v>58</v>
      </c>
      <c r="U14" s="474" t="s">
        <v>59</v>
      </c>
      <c r="V14" s="474" t="s">
        <v>60</v>
      </c>
      <c r="W14" s="474" t="s">
        <v>61</v>
      </c>
      <c r="X14" s="474" t="s">
        <v>62</v>
      </c>
      <c r="Y14" s="474" t="s">
        <v>63</v>
      </c>
      <c r="Z14" s="474" t="s">
        <v>64</v>
      </c>
      <c r="AA14" s="477" t="s">
        <v>65</v>
      </c>
      <c r="AB14" s="478" t="s">
        <v>66</v>
      </c>
      <c r="AC14" s="477" t="s">
        <v>67</v>
      </c>
      <c r="AD14" s="479" t="s">
        <v>68</v>
      </c>
      <c r="AE14" s="480" t="s">
        <v>69</v>
      </c>
      <c r="AF14" s="479" t="s">
        <v>70</v>
      </c>
      <c r="AG14" s="480" t="s">
        <v>71</v>
      </c>
      <c r="AH14" s="479" t="s">
        <v>72</v>
      </c>
      <c r="AI14" s="480" t="s">
        <v>73</v>
      </c>
      <c r="AJ14" s="480" t="s">
        <v>74</v>
      </c>
      <c r="AK14" s="479" t="s">
        <v>75</v>
      </c>
      <c r="AL14" s="480" t="s">
        <v>76</v>
      </c>
      <c r="AM14" s="479" t="s">
        <v>77</v>
      </c>
      <c r="AN14" s="480" t="s">
        <v>78</v>
      </c>
      <c r="AO14" s="481" t="s">
        <v>79</v>
      </c>
      <c r="AP14" s="480" t="s">
        <v>80</v>
      </c>
      <c r="AQ14" s="480" t="s">
        <v>81</v>
      </c>
      <c r="AR14" s="6"/>
      <c r="AS14" s="6"/>
      <c r="AT14" s="6"/>
      <c r="AU14" s="6"/>
      <c r="AV14" s="6"/>
      <c r="AW14" s="6"/>
      <c r="AX14" s="6"/>
      <c r="AY14" s="6"/>
    </row>
    <row r="15" spans="1:66" ht="18" customHeight="1">
      <c r="A15" s="22"/>
      <c r="B15" s="767" t="s">
        <v>82</v>
      </c>
      <c r="C15" s="768"/>
      <c r="D15" s="25">
        <v>14724.61673</v>
      </c>
      <c r="E15" s="26">
        <v>14354.708500999999</v>
      </c>
      <c r="F15" s="27">
        <f>(14792615438/1000000)</f>
        <v>14792.615438000001</v>
      </c>
      <c r="G15" s="26">
        <f>(58346258281-43871940669)/1000000</f>
        <v>14474.317612000001</v>
      </c>
      <c r="H15" s="482">
        <f t="shared" ref="H15:H18" si="0">SUM(D15:G15)</f>
        <v>58346.258281000002</v>
      </c>
      <c r="I15" s="26">
        <f>(17417537149/1000000)</f>
        <v>17417.537149</v>
      </c>
      <c r="J15" s="28">
        <v>16432.304951999999</v>
      </c>
      <c r="K15" s="29">
        <v>16881.356230000001</v>
      </c>
      <c r="L15" s="27">
        <v>15675.761619000001</v>
      </c>
      <c r="M15" s="30">
        <f t="shared" ref="M15:M18" si="1">SUM(I15:L15)</f>
        <v>66406.959950000004</v>
      </c>
      <c r="N15" s="27">
        <f>18813280078/1000000</f>
        <v>18813.280078</v>
      </c>
      <c r="O15" s="26">
        <f>18715142842/1000000</f>
        <v>18715.142842000001</v>
      </c>
      <c r="P15" s="27">
        <f>18329969468/1000000</f>
        <v>18329.969467999999</v>
      </c>
      <c r="Q15" s="26">
        <v>16476.981097</v>
      </c>
      <c r="R15" s="482">
        <f t="shared" ref="R15:R18" si="2">SUM(N15:Q15)</f>
        <v>72335.373484999989</v>
      </c>
      <c r="S15" s="26">
        <f>21613450761/1000000</f>
        <v>21613.450761</v>
      </c>
      <c r="T15" s="28">
        <f>21440318106/1000000</f>
        <v>21440.318105999999</v>
      </c>
      <c r="U15" s="31">
        <v>19809.913788999998</v>
      </c>
      <c r="V15" s="26">
        <f t="shared" ref="V15:V25" si="3">W15-SUM(S15:U15)</f>
        <v>7237.348539999999</v>
      </c>
      <c r="W15" s="647">
        <v>70101.031195999996</v>
      </c>
      <c r="X15" s="31">
        <v>17746.887565000001</v>
      </c>
      <c r="Y15" s="31">
        <v>19970.891106999999</v>
      </c>
      <c r="Z15" s="31">
        <f>20128714463/1000000</f>
        <v>20128.714463</v>
      </c>
      <c r="AA15" s="4">
        <f t="shared" ref="AA15:AQ15" si="4">AA17</f>
        <v>18711.959008692327</v>
      </c>
      <c r="AB15" s="652">
        <f t="shared" si="4"/>
        <v>76558.452143692324</v>
      </c>
      <c r="AC15" s="4">
        <f t="shared" si="4"/>
        <v>21962.942308502199</v>
      </c>
      <c r="AD15" s="33">
        <f t="shared" si="4"/>
        <v>22162.304169293369</v>
      </c>
      <c r="AE15" s="32">
        <f t="shared" si="4"/>
        <v>22070.874191878178</v>
      </c>
      <c r="AF15" s="33">
        <f t="shared" si="4"/>
        <v>20811.477473250863</v>
      </c>
      <c r="AG15" s="652">
        <f t="shared" si="4"/>
        <v>87023.449591587661</v>
      </c>
      <c r="AH15" s="4">
        <f t="shared" si="4"/>
        <v>24965.120758705943</v>
      </c>
      <c r="AI15" s="32">
        <f t="shared" si="4"/>
        <v>25191.733971973146</v>
      </c>
      <c r="AJ15" s="32">
        <f t="shared" si="4"/>
        <v>25087.806165075785</v>
      </c>
      <c r="AK15" s="4">
        <f t="shared" si="4"/>
        <v>23656.258846778743</v>
      </c>
      <c r="AL15" s="652">
        <f t="shared" si="4"/>
        <v>98918.93797180886</v>
      </c>
      <c r="AM15" s="4">
        <f t="shared" si="4"/>
        <v>28377.675711304761</v>
      </c>
      <c r="AN15" s="32">
        <f t="shared" si="4"/>
        <v>28635.265343662169</v>
      </c>
      <c r="AO15" s="33">
        <f t="shared" si="4"/>
        <v>28517.131342628265</v>
      </c>
      <c r="AP15" s="32">
        <f t="shared" si="4"/>
        <v>26889.901658595802</v>
      </c>
      <c r="AQ15" s="652">
        <f t="shared" si="4"/>
        <v>112440.4552496211</v>
      </c>
    </row>
    <row r="16" spans="1:66" ht="14.4">
      <c r="A16" s="22"/>
      <c r="B16" s="750" t="s">
        <v>83</v>
      </c>
      <c r="C16" s="736"/>
      <c r="D16" s="35">
        <v>2149.03595</v>
      </c>
      <c r="E16" s="26">
        <v>1988.649026</v>
      </c>
      <c r="F16" s="26">
        <f>(2022482749/1000000)</f>
        <v>2022.482749</v>
      </c>
      <c r="G16" s="26">
        <v>1483.0616540000001</v>
      </c>
      <c r="H16" s="483">
        <f t="shared" si="0"/>
        <v>7643.2293790000003</v>
      </c>
      <c r="I16" s="26">
        <f>(2540676024/1000000)</f>
        <v>2540.6760239999999</v>
      </c>
      <c r="J16" s="29">
        <v>2236.928261</v>
      </c>
      <c r="K16" s="29">
        <v>2231.354699</v>
      </c>
      <c r="L16" s="26">
        <v>1800.0596069999999</v>
      </c>
      <c r="M16" s="30">
        <f t="shared" si="1"/>
        <v>8809.0185909999982</v>
      </c>
      <c r="N16" s="26">
        <f>2743651781/1000000</f>
        <v>2743.651781</v>
      </c>
      <c r="O16" s="26">
        <f>2528063937/1000000</f>
        <v>2528.0639369999999</v>
      </c>
      <c r="P16" s="26">
        <f>2442606903/1000000</f>
        <v>2442.6069029999999</v>
      </c>
      <c r="Q16" s="26">
        <v>1873.3679999999999</v>
      </c>
      <c r="R16" s="483">
        <f t="shared" si="2"/>
        <v>9587.6906209999997</v>
      </c>
      <c r="S16" s="26">
        <f>3154251600/1000000</f>
        <v>3154.2516000000001</v>
      </c>
      <c r="T16" s="26">
        <f>2921367435/1000000</f>
        <v>2921.3674350000001</v>
      </c>
      <c r="U16" s="31">
        <v>2580.864685</v>
      </c>
      <c r="V16" s="26">
        <f t="shared" si="3"/>
        <v>-8656.4837200000002</v>
      </c>
      <c r="W16" s="648"/>
      <c r="X16" s="26">
        <v>0</v>
      </c>
      <c r="Y16" s="26" t="s">
        <v>84</v>
      </c>
      <c r="Z16" s="31">
        <v>0</v>
      </c>
      <c r="AA16" s="31">
        <v>0</v>
      </c>
      <c r="AB16" s="653">
        <v>0</v>
      </c>
      <c r="AC16" s="31">
        <v>0</v>
      </c>
      <c r="AD16" s="31">
        <v>0</v>
      </c>
      <c r="AE16" s="31">
        <v>0</v>
      </c>
      <c r="AF16" s="31">
        <v>0</v>
      </c>
      <c r="AG16" s="653">
        <v>0</v>
      </c>
      <c r="AH16" s="31">
        <v>0</v>
      </c>
      <c r="AI16" s="31">
        <v>0</v>
      </c>
      <c r="AJ16" s="31">
        <v>0</v>
      </c>
      <c r="AK16" s="31">
        <v>0</v>
      </c>
      <c r="AL16" s="653">
        <v>0</v>
      </c>
      <c r="AM16" s="31">
        <v>0</v>
      </c>
      <c r="AN16" s="31">
        <v>0</v>
      </c>
      <c r="AO16" s="31">
        <v>0</v>
      </c>
      <c r="AP16" s="31">
        <v>0</v>
      </c>
      <c r="AQ16" s="653">
        <v>0</v>
      </c>
    </row>
    <row r="17" spans="1:66" ht="14.4">
      <c r="A17" s="22"/>
      <c r="B17" s="785" t="s">
        <v>85</v>
      </c>
      <c r="C17" s="768"/>
      <c r="D17" s="37">
        <f t="shared" ref="D17:G17" si="5">D15-D16</f>
        <v>12575.58078</v>
      </c>
      <c r="E17" s="38">
        <f t="shared" si="5"/>
        <v>12366.059474999998</v>
      </c>
      <c r="F17" s="38">
        <f t="shared" si="5"/>
        <v>12770.132689</v>
      </c>
      <c r="G17" s="38">
        <f t="shared" si="5"/>
        <v>12991.255958000002</v>
      </c>
      <c r="H17" s="484">
        <f t="shared" si="0"/>
        <v>50703.028901999998</v>
      </c>
      <c r="I17" s="38">
        <f t="shared" ref="I17:L17" si="6">I15-I16</f>
        <v>14876.861124999999</v>
      </c>
      <c r="J17" s="38">
        <f t="shared" si="6"/>
        <v>14195.376690999998</v>
      </c>
      <c r="K17" s="38">
        <f t="shared" si="6"/>
        <v>14650.001531000002</v>
      </c>
      <c r="L17" s="38">
        <f t="shared" si="6"/>
        <v>13875.702012000002</v>
      </c>
      <c r="M17" s="39">
        <f t="shared" si="1"/>
        <v>57597.941358999997</v>
      </c>
      <c r="N17" s="38">
        <f t="shared" ref="N17:P17" si="7">N15-N16</f>
        <v>16069.628296999999</v>
      </c>
      <c r="O17" s="38">
        <f t="shared" si="7"/>
        <v>16187.078905000002</v>
      </c>
      <c r="P17" s="38">
        <f t="shared" si="7"/>
        <v>15887.362564999999</v>
      </c>
      <c r="Q17" s="38">
        <v>14603.613096999999</v>
      </c>
      <c r="R17" s="484">
        <f t="shared" si="2"/>
        <v>62747.682864000002</v>
      </c>
      <c r="S17" s="38">
        <f t="shared" ref="S17:U17" si="8">S15-S16</f>
        <v>18459.199161</v>
      </c>
      <c r="T17" s="38">
        <f t="shared" si="8"/>
        <v>18518.950670999999</v>
      </c>
      <c r="U17" s="38">
        <f t="shared" si="8"/>
        <v>17229.049103999998</v>
      </c>
      <c r="V17" s="38">
        <f t="shared" si="3"/>
        <v>15893.832260000003</v>
      </c>
      <c r="W17" s="649">
        <v>70101.031195999996</v>
      </c>
      <c r="X17" s="40">
        <f>X15-X16</f>
        <v>17746.887565000001</v>
      </c>
      <c r="Y17" s="40">
        <v>19970.891106999999</v>
      </c>
      <c r="Z17" s="38">
        <f>Z15-Z16</f>
        <v>20128.714463</v>
      </c>
      <c r="AA17" s="41">
        <f>Z17*(1+Workings!F10)</f>
        <v>18711.959008692327</v>
      </c>
      <c r="AB17" s="654">
        <f>SUM(X17:AA17)</f>
        <v>76558.452143692324</v>
      </c>
      <c r="AC17" s="43">
        <f>$AG$17*Workings!C19</f>
        <v>21962.942308502199</v>
      </c>
      <c r="AD17" s="44">
        <f>$AG$17*Workings!D19</f>
        <v>22162.304169293369</v>
      </c>
      <c r="AE17" s="44">
        <f>$AG$17*Workings!E19</f>
        <v>22070.874191878178</v>
      </c>
      <c r="AF17" s="44">
        <f>$AG$17*Workings!F19</f>
        <v>20811.477473250863</v>
      </c>
      <c r="AG17" s="656">
        <f>AB17*(1+Workings!Y6)</f>
        <v>87023.449591587661</v>
      </c>
      <c r="AH17" s="43">
        <f>Workings!C19*$AL$17</f>
        <v>24965.120758705943</v>
      </c>
      <c r="AI17" s="44">
        <f>Workings!D19*$AL$17</f>
        <v>25191.733971973146</v>
      </c>
      <c r="AJ17" s="44">
        <f>Workings!E19*$AL$17</f>
        <v>25087.806165075785</v>
      </c>
      <c r="AK17" s="43">
        <f>Workings!F19*$AL$17</f>
        <v>23656.258846778743</v>
      </c>
      <c r="AL17" s="656">
        <f>AG17*(1+Workings!Y6)</f>
        <v>98918.93797180886</v>
      </c>
      <c r="AM17" s="45">
        <f>Workings!C19*$AQ$17</f>
        <v>28377.675711304761</v>
      </c>
      <c r="AN17" s="46">
        <f>Workings!D19*$AQ$17</f>
        <v>28635.265343662169</v>
      </c>
      <c r="AO17" s="46">
        <f>Workings!E19*$AQ$17</f>
        <v>28517.131342628265</v>
      </c>
      <c r="AP17" s="46">
        <f>Workings!F19*$AQ$17</f>
        <v>26889.901658595802</v>
      </c>
      <c r="AQ17" s="669">
        <f>AL17*(1+Workings!Y6)</f>
        <v>112440.4552496211</v>
      </c>
    </row>
    <row r="18" spans="1:66" ht="14.4">
      <c r="A18" s="22"/>
      <c r="B18" s="750" t="s">
        <v>86</v>
      </c>
      <c r="C18" s="736"/>
      <c r="D18" s="35">
        <v>6154.0512650000001</v>
      </c>
      <c r="E18" s="26">
        <v>5757.9130539999996</v>
      </c>
      <c r="F18" s="26">
        <f>(6230986835/1000000)</f>
        <v>6230.9868349999997</v>
      </c>
      <c r="G18" s="29">
        <v>6657.0844010000001</v>
      </c>
      <c r="H18" s="483">
        <f t="shared" si="0"/>
        <v>24800.035554999999</v>
      </c>
      <c r="I18" s="26">
        <f>(7263066871/1000000)</f>
        <v>7263.066871</v>
      </c>
      <c r="J18" s="29">
        <v>6609.6795009999996</v>
      </c>
      <c r="K18" s="29">
        <v>7125.5805030000001</v>
      </c>
      <c r="L18" s="26">
        <v>6959.7001049999999</v>
      </c>
      <c r="M18" s="483">
        <f t="shared" si="1"/>
        <v>27958.026979999999</v>
      </c>
      <c r="N18" s="26">
        <f>7782604676/1000000</f>
        <v>7782.6046759999999</v>
      </c>
      <c r="O18" s="26">
        <f>7607825295/1000000</f>
        <v>7607.8252949999996</v>
      </c>
      <c r="P18" s="26">
        <f>8214266551/1000000</f>
        <v>8214.2665510000006</v>
      </c>
      <c r="Q18" s="26">
        <v>8167.3967780000003</v>
      </c>
      <c r="R18" s="483">
        <f t="shared" si="2"/>
        <v>31772.0933</v>
      </c>
      <c r="S18" s="26">
        <f>8689972839/1000000</f>
        <v>8689.972839</v>
      </c>
      <c r="T18" s="26">
        <f>9463751431/1000000</f>
        <v>9463.7514310000006</v>
      </c>
      <c r="U18" s="31">
        <v>8401.0035530000005</v>
      </c>
      <c r="V18" s="26">
        <f t="shared" si="3"/>
        <v>10473.873721999997</v>
      </c>
      <c r="W18" s="647">
        <v>37028.601544999998</v>
      </c>
      <c r="X18" s="31">
        <v>8828.4597379999996</v>
      </c>
      <c r="Y18" s="31">
        <v>11064.971566</v>
      </c>
      <c r="Z18" s="31">
        <f>10451313698/1000000</f>
        <v>10451.313698</v>
      </c>
      <c r="AA18" s="47">
        <f t="shared" ref="AA18:AQ18" si="9">AA17-AA19</f>
        <v>10431.917147345972</v>
      </c>
      <c r="AB18" s="655">
        <f t="shared" si="9"/>
        <v>40776.662149345968</v>
      </c>
      <c r="AC18" s="4">
        <f t="shared" si="9"/>
        <v>10673.989961932068</v>
      </c>
      <c r="AD18" s="33">
        <f t="shared" si="9"/>
        <v>10948.178259630924</v>
      </c>
      <c r="AE18" s="33">
        <f t="shared" si="9"/>
        <v>11079.578844322847</v>
      </c>
      <c r="AF18" s="33">
        <f t="shared" si="9"/>
        <v>11602.398691337356</v>
      </c>
      <c r="AG18" s="657">
        <f t="shared" si="9"/>
        <v>44319.997205886248</v>
      </c>
      <c r="AH18" s="4">
        <f t="shared" si="9"/>
        <v>12133.048688731089</v>
      </c>
      <c r="AI18" s="33">
        <f t="shared" si="9"/>
        <v>12444.716582154733</v>
      </c>
      <c r="AJ18" s="33">
        <f t="shared" si="9"/>
        <v>12594.078694868045</v>
      </c>
      <c r="AK18" s="4">
        <f t="shared" si="9"/>
        <v>13188.36430707915</v>
      </c>
      <c r="AL18" s="657">
        <f t="shared" si="9"/>
        <v>50378.226502108264</v>
      </c>
      <c r="AM18" s="4">
        <f t="shared" si="9"/>
        <v>13791.550395694114</v>
      </c>
      <c r="AN18" s="33">
        <f t="shared" si="9"/>
        <v>14145.821079769112</v>
      </c>
      <c r="AO18" s="33">
        <f t="shared" si="9"/>
        <v>14315.59993399939</v>
      </c>
      <c r="AP18" s="33">
        <f t="shared" si="9"/>
        <v>14991.12017466716</v>
      </c>
      <c r="AQ18" s="657">
        <f t="shared" si="9"/>
        <v>57264.572777559879</v>
      </c>
    </row>
    <row r="19" spans="1:66" ht="14.4">
      <c r="A19" s="22"/>
      <c r="B19" s="785" t="s">
        <v>87</v>
      </c>
      <c r="C19" s="768"/>
      <c r="D19" s="37">
        <f t="shared" ref="D19:U19" si="10">D17-D18</f>
        <v>6421.5295150000002</v>
      </c>
      <c r="E19" s="38">
        <f t="shared" si="10"/>
        <v>6608.1464209999986</v>
      </c>
      <c r="F19" s="38">
        <f t="shared" si="10"/>
        <v>6539.1458540000003</v>
      </c>
      <c r="G19" s="38">
        <f t="shared" si="10"/>
        <v>6334.1715570000015</v>
      </c>
      <c r="H19" s="484">
        <f t="shared" si="10"/>
        <v>25902.993347</v>
      </c>
      <c r="I19" s="38">
        <f t="shared" si="10"/>
        <v>7613.7942539999995</v>
      </c>
      <c r="J19" s="38">
        <f t="shared" si="10"/>
        <v>7585.697189999998</v>
      </c>
      <c r="K19" s="38">
        <f t="shared" si="10"/>
        <v>7524.4210280000016</v>
      </c>
      <c r="L19" s="38">
        <f t="shared" si="10"/>
        <v>6916.0019070000017</v>
      </c>
      <c r="M19" s="484">
        <f t="shared" si="10"/>
        <v>29639.914378999998</v>
      </c>
      <c r="N19" s="38">
        <f t="shared" si="10"/>
        <v>8287.0236210000003</v>
      </c>
      <c r="O19" s="38">
        <f t="shared" si="10"/>
        <v>8579.2536100000034</v>
      </c>
      <c r="P19" s="38">
        <f t="shared" si="10"/>
        <v>7673.0960139999988</v>
      </c>
      <c r="Q19" s="38">
        <f t="shared" si="10"/>
        <v>6436.2163189999992</v>
      </c>
      <c r="R19" s="484">
        <f t="shared" si="10"/>
        <v>30975.589564000002</v>
      </c>
      <c r="S19" s="38">
        <f t="shared" si="10"/>
        <v>9769.2263220000004</v>
      </c>
      <c r="T19" s="38">
        <f t="shared" si="10"/>
        <v>9055.1992399999981</v>
      </c>
      <c r="U19" s="38">
        <f t="shared" si="10"/>
        <v>8828.0455509999974</v>
      </c>
      <c r="V19" s="27">
        <f t="shared" si="3"/>
        <v>5419.9585380000062</v>
      </c>
      <c r="W19" s="649">
        <v>33072.429650999999</v>
      </c>
      <c r="X19" s="49">
        <f t="shared" ref="X19:Z19" si="11">X17-X18</f>
        <v>8918.4278270000013</v>
      </c>
      <c r="Y19" s="38">
        <f t="shared" si="11"/>
        <v>8905.9195409999993</v>
      </c>
      <c r="Z19" s="38">
        <f t="shared" si="11"/>
        <v>9677.4007650000003</v>
      </c>
      <c r="AA19" s="43">
        <f>AA17*Workings!F28</f>
        <v>8280.0418613463553</v>
      </c>
      <c r="AB19" s="656">
        <f t="shared" ref="AB19:AB22" si="12">SUM(X19:AA19)</f>
        <v>35781.789994346356</v>
      </c>
      <c r="AC19" s="50">
        <f>AC17*Workings!C28</f>
        <v>11288.952346570131</v>
      </c>
      <c r="AD19" s="44">
        <f>AD17*Workings!D28</f>
        <v>11214.125909662445</v>
      </c>
      <c r="AE19" s="44">
        <f>AE17*Workings!E28</f>
        <v>10991.295347555331</v>
      </c>
      <c r="AF19" s="44">
        <f>AF17*Workings!F28</f>
        <v>9209.0787819135076</v>
      </c>
      <c r="AG19" s="656">
        <f t="shared" ref="AG19:AG22" si="13">SUM(AC19:AF19)</f>
        <v>42703.452385701414</v>
      </c>
      <c r="AH19" s="44">
        <f>AH17*Workings!C28</f>
        <v>12832.072069974854</v>
      </c>
      <c r="AI19" s="44">
        <f>AI17*Workings!D28</f>
        <v>12747.017389818413</v>
      </c>
      <c r="AJ19" s="44">
        <f>AJ17*Workings!E28</f>
        <v>12493.727470207739</v>
      </c>
      <c r="AK19" s="43">
        <f>AK17*Workings!F28</f>
        <v>10467.894539699593</v>
      </c>
      <c r="AL19" s="656">
        <f t="shared" ref="AL19:AL22" si="14">SUM(AH19:AK19)</f>
        <v>48540.711469700596</v>
      </c>
      <c r="AM19" s="44">
        <f>AM17*Workings!C28</f>
        <v>14586.125315610647</v>
      </c>
      <c r="AN19" s="44">
        <f>AN17*Workings!D28</f>
        <v>14489.444263893058</v>
      </c>
      <c r="AO19" s="44">
        <f>AO17*Workings!E28</f>
        <v>14201.531408628874</v>
      </c>
      <c r="AP19" s="44">
        <f>AP17*Workings!F28</f>
        <v>11898.781483928642</v>
      </c>
      <c r="AQ19" s="656">
        <f t="shared" ref="AQ19:AQ22" si="15">SUM(AM19:AP19)</f>
        <v>55175.882472061217</v>
      </c>
    </row>
    <row r="20" spans="1:66" ht="14.4">
      <c r="A20" s="51"/>
      <c r="B20" s="750" t="s">
        <v>88</v>
      </c>
      <c r="C20" s="736"/>
      <c r="D20" s="35">
        <v>1915.600242</v>
      </c>
      <c r="E20" s="26">
        <v>2111.474381</v>
      </c>
      <c r="F20" s="26">
        <f>(2145689022/1000000)</f>
        <v>2145.689022</v>
      </c>
      <c r="G20" s="29">
        <v>2391.7088389999999</v>
      </c>
      <c r="H20" s="483">
        <f t="shared" ref="H20:H22" si="16">SUM(D20:G20)</f>
        <v>8564.4724839999999</v>
      </c>
      <c r="I20" s="26">
        <f>(2227930097/1000000)</f>
        <v>2227.9300969999999</v>
      </c>
      <c r="J20" s="29">
        <v>2492.4999899999998</v>
      </c>
      <c r="K20" s="29">
        <v>2443.4219640000001</v>
      </c>
      <c r="L20" s="26">
        <v>3275.4184150000001</v>
      </c>
      <c r="M20" s="483">
        <f t="shared" ref="M20:M22" si="17">SUM(I20:L20)</f>
        <v>10439.270466</v>
      </c>
      <c r="N20" s="26">
        <f>2609458904/1000000</f>
        <v>2609.4589040000001</v>
      </c>
      <c r="O20" s="26">
        <f>2952183775/1000000</f>
        <v>2952.183775</v>
      </c>
      <c r="P20" s="26">
        <f>3046114879/1000000</f>
        <v>3046.1148790000002</v>
      </c>
      <c r="Q20" s="26">
        <v>3206.5306089999999</v>
      </c>
      <c r="R20" s="483">
        <f t="shared" ref="R20:R22" si="18">SUM(N20:Q20)</f>
        <v>11814.288167000001</v>
      </c>
      <c r="S20" s="26">
        <f>3130077739/1000000</f>
        <v>3130.0777389999998</v>
      </c>
      <c r="T20" s="26">
        <f>3566401521/1000000</f>
        <v>3566.4015209999998</v>
      </c>
      <c r="U20" s="31">
        <v>3945.5069859999999</v>
      </c>
      <c r="V20" s="26">
        <f t="shared" si="3"/>
        <v>1423.9170949999989</v>
      </c>
      <c r="W20" s="647">
        <v>12065.903340999999</v>
      </c>
      <c r="X20" s="31">
        <v>3057.5384600000002</v>
      </c>
      <c r="Y20" s="31">
        <v>2987.8914239999999</v>
      </c>
      <c r="Z20" s="31">
        <f>3919806144/1000000</f>
        <v>3919.8061440000001</v>
      </c>
      <c r="AA20" s="4">
        <f>AA17*AA56</f>
        <v>3309.0791585246543</v>
      </c>
      <c r="AB20" s="657">
        <f t="shared" si="12"/>
        <v>13274.315186524655</v>
      </c>
      <c r="AC20" s="4">
        <f t="shared" ref="AC20:AF20" si="19">AC17*AC56</f>
        <v>3883.9928314925787</v>
      </c>
      <c r="AD20" s="33">
        <f t="shared" si="19"/>
        <v>3919.248583081298</v>
      </c>
      <c r="AE20" s="4">
        <f t="shared" si="19"/>
        <v>3903.0798306493134</v>
      </c>
      <c r="AF20" s="33">
        <f t="shared" si="19"/>
        <v>3680.3643238449181</v>
      </c>
      <c r="AG20" s="663">
        <f t="shared" si="13"/>
        <v>15386.685569068108</v>
      </c>
      <c r="AH20" s="33">
        <f t="shared" ref="AH20:AK20" si="20">AH17*AH56</f>
        <v>4414.9071058946429</v>
      </c>
      <c r="AI20" s="4">
        <f t="shared" si="20"/>
        <v>4454.9820686882476</v>
      </c>
      <c r="AJ20" s="33">
        <f t="shared" si="20"/>
        <v>4436.6031624692105</v>
      </c>
      <c r="AK20" s="4">
        <f t="shared" si="20"/>
        <v>4183.4440254051506</v>
      </c>
      <c r="AL20" s="666">
        <f t="shared" si="14"/>
        <v>17489.936362457254</v>
      </c>
      <c r="AM20" s="33">
        <f t="shared" ref="AM20:AP20" si="21">AM17*AM56</f>
        <v>5018.3935963106987</v>
      </c>
      <c r="AN20" s="4">
        <f t="shared" si="21"/>
        <v>5063.9465223025727</v>
      </c>
      <c r="AO20" s="33">
        <f t="shared" si="21"/>
        <v>5043.0553499484204</v>
      </c>
      <c r="AP20" s="4">
        <f t="shared" si="21"/>
        <v>4755.2911542774518</v>
      </c>
      <c r="AQ20" s="657">
        <f t="shared" si="15"/>
        <v>19880.686622839145</v>
      </c>
      <c r="AR20" s="52"/>
      <c r="AS20" s="52"/>
      <c r="AT20" s="52"/>
      <c r="AU20" s="52"/>
      <c r="AV20" s="52"/>
      <c r="AW20" s="52"/>
      <c r="AX20" s="52"/>
      <c r="AY20" s="52"/>
      <c r="AZ20" s="52"/>
      <c r="BA20" s="52"/>
      <c r="BB20" s="52"/>
      <c r="BC20" s="52"/>
      <c r="BD20" s="52"/>
      <c r="BE20" s="52"/>
      <c r="BF20" s="52"/>
      <c r="BG20" s="52"/>
      <c r="BH20" s="52"/>
      <c r="BI20" s="52"/>
      <c r="BJ20" s="52"/>
      <c r="BK20" s="52"/>
      <c r="BL20" s="52"/>
      <c r="BM20" s="52"/>
      <c r="BN20" s="52"/>
    </row>
    <row r="21" spans="1:66" ht="14.4">
      <c r="A21" s="22"/>
      <c r="B21" s="750" t="s">
        <v>89</v>
      </c>
      <c r="C21" s="736"/>
      <c r="D21" s="35">
        <v>250.245632</v>
      </c>
      <c r="E21" s="26">
        <v>302.39043099999998</v>
      </c>
      <c r="F21" s="26">
        <f>(316712596/1000000)</f>
        <v>316.71259600000002</v>
      </c>
      <c r="G21" s="29">
        <v>347.58292999999998</v>
      </c>
      <c r="H21" s="483">
        <f t="shared" si="16"/>
        <v>1216.931589</v>
      </c>
      <c r="I21" s="26">
        <f>(264530012/1000000)</f>
        <v>264.530012</v>
      </c>
      <c r="J21" s="29">
        <v>338.37100600000002</v>
      </c>
      <c r="K21" s="29">
        <v>350.040527</v>
      </c>
      <c r="L21" s="26">
        <v>449.31262199999998</v>
      </c>
      <c r="M21" s="483">
        <f t="shared" si="17"/>
        <v>1402.2541670000001</v>
      </c>
      <c r="N21" s="26">
        <f>344539083/1000000</f>
        <v>344.53908300000001</v>
      </c>
      <c r="O21" s="26">
        <f>381461263/1000000</f>
        <v>381.46126299999997</v>
      </c>
      <c r="P21" s="26">
        <f>354002820/1000000</f>
        <v>354.00281999999999</v>
      </c>
      <c r="Q21" s="26">
        <v>455.98794900000001</v>
      </c>
      <c r="R21" s="483">
        <f t="shared" si="18"/>
        <v>1535.991115</v>
      </c>
      <c r="S21" s="26">
        <f>339315089/1000000</f>
        <v>339.315089</v>
      </c>
      <c r="T21" s="26">
        <f>421752028/1000000</f>
        <v>421.752028</v>
      </c>
      <c r="U21" s="31">
        <v>407.387112</v>
      </c>
      <c r="V21" s="26">
        <f t="shared" si="3"/>
        <v>701.47735299999999</v>
      </c>
      <c r="W21" s="647">
        <v>1869.9315819999999</v>
      </c>
      <c r="X21" s="31">
        <v>439.34630800000002</v>
      </c>
      <c r="Y21" s="31">
        <v>444.96884699999998</v>
      </c>
      <c r="Z21" s="31">
        <f>541475787/1000000</f>
        <v>541.47578699999997</v>
      </c>
      <c r="AA21" s="4">
        <f>AA19*AA57</f>
        <v>206.8890198419605</v>
      </c>
      <c r="AB21" s="657">
        <f t="shared" si="12"/>
        <v>1632.6799618419607</v>
      </c>
      <c r="AC21" s="4">
        <f t="shared" ref="AC21:AF21" si="22">AC17*AC57</f>
        <v>548.77640513676067</v>
      </c>
      <c r="AD21" s="33">
        <f t="shared" si="22"/>
        <v>553.75775434533193</v>
      </c>
      <c r="AE21" s="4">
        <f t="shared" si="22"/>
        <v>551.473241932429</v>
      </c>
      <c r="AF21" s="33">
        <f t="shared" si="22"/>
        <v>520.00536325836879</v>
      </c>
      <c r="AG21" s="663">
        <f t="shared" si="13"/>
        <v>2174.0127646728906</v>
      </c>
      <c r="AH21" s="33">
        <f t="shared" ref="AH21:AK21" si="23">AH17*AH57</f>
        <v>623.79024774217874</v>
      </c>
      <c r="AI21" s="4">
        <f t="shared" si="23"/>
        <v>629.45251205933835</v>
      </c>
      <c r="AJ21" s="33">
        <f t="shared" si="23"/>
        <v>626.8557230015806</v>
      </c>
      <c r="AK21" s="4">
        <f t="shared" si="23"/>
        <v>591.08640848609775</v>
      </c>
      <c r="AL21" s="666">
        <f t="shared" si="14"/>
        <v>2471.1848912891955</v>
      </c>
      <c r="AM21" s="33">
        <f t="shared" ref="AM21:AP21" si="24">AM17*AM57</f>
        <v>709.05795062613458</v>
      </c>
      <c r="AN21" s="4">
        <f t="shared" si="24"/>
        <v>715.49420631810881</v>
      </c>
      <c r="AO21" s="33">
        <f t="shared" si="24"/>
        <v>712.54245461284142</v>
      </c>
      <c r="AP21" s="4">
        <f t="shared" si="24"/>
        <v>671.88372848262372</v>
      </c>
      <c r="AQ21" s="657">
        <f t="shared" si="15"/>
        <v>2808.9783400397087</v>
      </c>
    </row>
    <row r="22" spans="1:66" ht="14.4">
      <c r="A22" s="22"/>
      <c r="B22" s="53" t="s">
        <v>90</v>
      </c>
      <c r="C22" s="54"/>
      <c r="D22" s="55">
        <v>5.2849999999999998E-3</v>
      </c>
      <c r="E22" s="26">
        <v>0</v>
      </c>
      <c r="F22" s="26">
        <f>(3887/1000000)</f>
        <v>3.8869999999999998E-3</v>
      </c>
      <c r="G22" s="29">
        <v>4.2709999999999996E-3</v>
      </c>
      <c r="H22" s="483">
        <f t="shared" si="16"/>
        <v>1.3443E-2</v>
      </c>
      <c r="I22" s="26">
        <f>(22214/1000000)</f>
        <v>2.2214000000000001E-2</v>
      </c>
      <c r="J22" s="29">
        <v>6.9499999999999998E-4</v>
      </c>
      <c r="K22" s="29">
        <v>2.4910000000000002E-3</v>
      </c>
      <c r="L22" s="26">
        <v>4.3569999999999998E-3</v>
      </c>
      <c r="M22" s="483">
        <f t="shared" si="17"/>
        <v>2.9757000000000002E-2</v>
      </c>
      <c r="N22" s="26">
        <v>0</v>
      </c>
      <c r="O22" s="26">
        <f>33758257/1000000</f>
        <v>33.758257</v>
      </c>
      <c r="P22" s="26">
        <f>42164730/1000000</f>
        <v>42.164729999999999</v>
      </c>
      <c r="Q22" s="26">
        <v>43.043792000000003</v>
      </c>
      <c r="R22" s="483">
        <f t="shared" si="18"/>
        <v>118.966779</v>
      </c>
      <c r="S22" s="26">
        <f>41401812/1000000</f>
        <v>41.401812</v>
      </c>
      <c r="T22" s="26">
        <f>58267267/1000000</f>
        <v>58.267266999999997</v>
      </c>
      <c r="U22" s="31">
        <v>71.943995999999999</v>
      </c>
      <c r="V22" s="26">
        <f t="shared" si="3"/>
        <v>72.385355000000033</v>
      </c>
      <c r="W22" s="647">
        <v>243.99843000000001</v>
      </c>
      <c r="X22" s="31">
        <v>68.795525999999995</v>
      </c>
      <c r="Y22" s="31">
        <v>58.405306000000003</v>
      </c>
      <c r="Z22" s="31">
        <f>49502042/1000000</f>
        <v>49.502042000000003</v>
      </c>
      <c r="AA22" s="4">
        <f>AA19*AA55</f>
        <v>25.14589998665944</v>
      </c>
      <c r="AB22" s="657">
        <f t="shared" si="12"/>
        <v>201.84877398665944</v>
      </c>
      <c r="AC22" s="4">
        <f t="shared" ref="AC22:AF22" si="25">AC19*AC55</f>
        <v>34.283747765359585</v>
      </c>
      <c r="AD22" s="33">
        <f t="shared" si="25"/>
        <v>34.056505182490227</v>
      </c>
      <c r="AE22" s="4">
        <f t="shared" si="25"/>
        <v>33.379784566514317</v>
      </c>
      <c r="AF22" s="33">
        <f t="shared" si="25"/>
        <v>27.967319235462252</v>
      </c>
      <c r="AG22" s="663">
        <f t="shared" si="13"/>
        <v>129.68735674982639</v>
      </c>
      <c r="AH22" s="33">
        <f t="shared" ref="AH22:AK22" si="26">AH19*AH55</f>
        <v>38.970092941139562</v>
      </c>
      <c r="AI22" s="4">
        <f t="shared" si="26"/>
        <v>38.711787908818934</v>
      </c>
      <c r="AJ22" s="33">
        <f t="shared" si="26"/>
        <v>37.942564384008961</v>
      </c>
      <c r="AK22" s="4">
        <f t="shared" si="26"/>
        <v>31.790253427943835</v>
      </c>
      <c r="AL22" s="666">
        <f t="shared" si="14"/>
        <v>147.4146986619113</v>
      </c>
      <c r="AM22" s="33">
        <f t="shared" ref="AM22:AP22" si="27">AM19*AM55</f>
        <v>44.297028266423176</v>
      </c>
      <c r="AN22" s="4">
        <f t="shared" si="27"/>
        <v>44.003414768109266</v>
      </c>
      <c r="AO22" s="33">
        <f t="shared" si="27"/>
        <v>43.129043842867411</v>
      </c>
      <c r="AP22" s="4">
        <f t="shared" si="27"/>
        <v>36.135755611908614</v>
      </c>
      <c r="AQ22" s="657">
        <f t="shared" si="15"/>
        <v>167.56524248930847</v>
      </c>
    </row>
    <row r="23" spans="1:66" ht="15.75" customHeight="1">
      <c r="A23" s="22"/>
      <c r="B23" s="36" t="s">
        <v>91</v>
      </c>
      <c r="C23" s="56"/>
      <c r="D23" s="57">
        <f t="shared" ref="D23:U23" si="28">SUM(D20:D22)</f>
        <v>2165.8511590000003</v>
      </c>
      <c r="E23" s="38">
        <f t="shared" si="28"/>
        <v>2413.8648119999998</v>
      </c>
      <c r="F23" s="38">
        <f t="shared" si="28"/>
        <v>2462.4055049999997</v>
      </c>
      <c r="G23" s="38">
        <f t="shared" si="28"/>
        <v>2739.2960399999997</v>
      </c>
      <c r="H23" s="484">
        <f t="shared" si="28"/>
        <v>9781.4175159999995</v>
      </c>
      <c r="I23" s="38">
        <f t="shared" si="28"/>
        <v>2492.4823230000002</v>
      </c>
      <c r="J23" s="38">
        <f t="shared" si="28"/>
        <v>2830.8716909999998</v>
      </c>
      <c r="K23" s="38">
        <f t="shared" si="28"/>
        <v>2793.4649820000004</v>
      </c>
      <c r="L23" s="38">
        <f t="shared" si="28"/>
        <v>3724.7353939999998</v>
      </c>
      <c r="M23" s="484">
        <f t="shared" si="28"/>
        <v>11841.554390000001</v>
      </c>
      <c r="N23" s="38">
        <f t="shared" si="28"/>
        <v>2953.9979870000002</v>
      </c>
      <c r="O23" s="38">
        <f t="shared" si="28"/>
        <v>3367.4032950000001</v>
      </c>
      <c r="P23" s="38">
        <f t="shared" si="28"/>
        <v>3442.2824290000003</v>
      </c>
      <c r="Q23" s="38">
        <f t="shared" si="28"/>
        <v>3705.5623499999997</v>
      </c>
      <c r="R23" s="484">
        <f t="shared" si="28"/>
        <v>13469.246061000002</v>
      </c>
      <c r="S23" s="38">
        <f t="shared" si="28"/>
        <v>3510.7946400000001</v>
      </c>
      <c r="T23" s="38">
        <f t="shared" si="28"/>
        <v>4046.4208159999998</v>
      </c>
      <c r="U23" s="38">
        <f t="shared" si="28"/>
        <v>4424.8380939999997</v>
      </c>
      <c r="V23" s="38">
        <f t="shared" si="3"/>
        <v>2197.7798029999994</v>
      </c>
      <c r="W23" s="649">
        <v>14179.833353</v>
      </c>
      <c r="X23" s="38">
        <f t="shared" ref="X23:AQ23" si="29">SUM(X20:X22)</f>
        <v>3565.6802940000002</v>
      </c>
      <c r="Y23" s="38">
        <f t="shared" si="29"/>
        <v>3491.2655770000001</v>
      </c>
      <c r="Z23" s="38">
        <f t="shared" si="29"/>
        <v>4510.7839730000005</v>
      </c>
      <c r="AA23" s="43">
        <f t="shared" si="29"/>
        <v>3541.1140783532742</v>
      </c>
      <c r="AB23" s="656">
        <f t="shared" si="29"/>
        <v>15108.843922353275</v>
      </c>
      <c r="AC23" s="50">
        <f t="shared" si="29"/>
        <v>4467.0529843946988</v>
      </c>
      <c r="AD23" s="58">
        <f t="shared" si="29"/>
        <v>4507.0628426091207</v>
      </c>
      <c r="AE23" s="50">
        <f t="shared" si="29"/>
        <v>4487.9328571482565</v>
      </c>
      <c r="AF23" s="58">
        <f t="shared" si="29"/>
        <v>4228.3370063387492</v>
      </c>
      <c r="AG23" s="664">
        <f t="shared" si="29"/>
        <v>17690.385690490824</v>
      </c>
      <c r="AH23" s="58">
        <f t="shared" si="29"/>
        <v>5077.6674465779606</v>
      </c>
      <c r="AI23" s="50">
        <f t="shared" si="29"/>
        <v>5123.1463686564048</v>
      </c>
      <c r="AJ23" s="58">
        <f t="shared" si="29"/>
        <v>5101.4014498547995</v>
      </c>
      <c r="AK23" s="50">
        <f t="shared" si="29"/>
        <v>4806.3206873191921</v>
      </c>
      <c r="AL23" s="667">
        <f t="shared" si="29"/>
        <v>20108.535952408361</v>
      </c>
      <c r="AM23" s="58">
        <f t="shared" si="29"/>
        <v>5771.7485752032562</v>
      </c>
      <c r="AN23" s="50">
        <f t="shared" si="29"/>
        <v>5823.4441433887905</v>
      </c>
      <c r="AO23" s="58">
        <f t="shared" si="29"/>
        <v>5798.7268484041297</v>
      </c>
      <c r="AP23" s="50">
        <f t="shared" si="29"/>
        <v>5463.3106383719842</v>
      </c>
      <c r="AQ23" s="670">
        <f t="shared" si="29"/>
        <v>22857.230205368163</v>
      </c>
    </row>
    <row r="24" spans="1:66" ht="15.75" customHeight="1">
      <c r="A24" s="22"/>
      <c r="B24" s="53" t="s">
        <v>92</v>
      </c>
      <c r="C24" s="59"/>
      <c r="D24" s="60">
        <v>0</v>
      </c>
      <c r="E24" s="61">
        <v>11.116534</v>
      </c>
      <c r="F24" s="62">
        <f>(47254323/1000000)</f>
        <v>47.254322999999999</v>
      </c>
      <c r="G24" s="29">
        <v>49.295352999999999</v>
      </c>
      <c r="H24" s="485">
        <f>SUM(D24:G24)</f>
        <v>107.66621000000001</v>
      </c>
      <c r="I24" s="62">
        <f>(50626126/1000000)</f>
        <v>50.626125999999999</v>
      </c>
      <c r="J24" s="29">
        <v>38.721032000000001</v>
      </c>
      <c r="K24" s="29">
        <v>45.548721</v>
      </c>
      <c r="L24" s="26">
        <v>483.22127</v>
      </c>
      <c r="M24" s="483">
        <f>SUM(I24:L24)</f>
        <v>618.11714900000004</v>
      </c>
      <c r="N24" s="62">
        <f>455401465/1000000</f>
        <v>455.40146499999997</v>
      </c>
      <c r="O24" s="62">
        <f>91502667/1000000</f>
        <v>91.502667000000002</v>
      </c>
      <c r="P24" s="62">
        <f>193771112/1000000</f>
        <v>193.77111199999999</v>
      </c>
      <c r="Q24" s="62">
        <v>-25.350493</v>
      </c>
      <c r="R24" s="483">
        <f>SUM(N24:Q24)</f>
        <v>715.32475099999999</v>
      </c>
      <c r="S24" s="62">
        <f>115547205/1000000</f>
        <v>115.54720500000001</v>
      </c>
      <c r="T24" s="62">
        <f>12880354/1000000</f>
        <v>12.880354000000001</v>
      </c>
      <c r="U24" s="31">
        <v>31.250174000000001</v>
      </c>
      <c r="V24" s="26">
        <f t="shared" si="3"/>
        <v>179.00826000000001</v>
      </c>
      <c r="W24" s="647">
        <v>338.685993</v>
      </c>
      <c r="X24" s="31">
        <v>211.25538</v>
      </c>
      <c r="Y24" s="31">
        <v>16.521153999999999</v>
      </c>
      <c r="Z24" s="31">
        <f>149643186/1000000</f>
        <v>149.64318599999999</v>
      </c>
      <c r="AA24" s="63">
        <f>AVERAGE(V24,X24:Z24)</f>
        <v>139.10699500000001</v>
      </c>
      <c r="AB24" s="658">
        <f t="shared" ref="AB24:AB25" si="30">SUM(X24:AA24)</f>
        <v>516.52671499999997</v>
      </c>
      <c r="AC24" s="63">
        <f>AVERAGE(X24:AA24)</f>
        <v>129.13167874999999</v>
      </c>
      <c r="AD24" s="64">
        <f>AVERAGE(Y24:AA24,AC24)</f>
        <v>108.6007534375</v>
      </c>
      <c r="AE24" s="64">
        <f>AVERAGE(Z24:AA24,AC24:AD24)</f>
        <v>131.62065329687499</v>
      </c>
      <c r="AF24" s="64">
        <f>AVERAGE(AA24,AC24:AE24)</f>
        <v>127.11502012109374</v>
      </c>
      <c r="AG24" s="658">
        <f>SUM(AC24:AF24)</f>
        <v>496.46810560546874</v>
      </c>
      <c r="AH24" s="64">
        <f>AVERAGE(AC24:AF24)</f>
        <v>124.11702640136718</v>
      </c>
      <c r="AI24" s="64">
        <f>AVERAGE(AH24,AD24:AF24)</f>
        <v>122.86336331420898</v>
      </c>
      <c r="AJ24" s="64">
        <f>AVERAGE(AH24:AI24,AE24:AF24)</f>
        <v>126.42901578338622</v>
      </c>
      <c r="AK24" s="63">
        <f>AVERAGE(AH24:AJ24,AF24)</f>
        <v>125.13110640501402</v>
      </c>
      <c r="AL24" s="658">
        <f>SUM(AH24:AK24)</f>
        <v>498.54051190397638</v>
      </c>
      <c r="AM24" s="65">
        <f>AVERAGE(AH24:AK24)</f>
        <v>124.6351279759941</v>
      </c>
      <c r="AN24" s="65">
        <f>AVERAGE(AM24,AI24:AK24)</f>
        <v>124.76465336965083</v>
      </c>
      <c r="AO24" s="65">
        <f>AVERAGE(AM24:AN24,AJ24:AK24)</f>
        <v>125.23997588351129</v>
      </c>
      <c r="AP24" s="65">
        <f>AVERAGE(AM24:AO24,AK24)</f>
        <v>124.94271590854255</v>
      </c>
      <c r="AQ24" s="671">
        <f>SUM(AM24,AN24,AO24,AP24)</f>
        <v>499.58247313769874</v>
      </c>
    </row>
    <row r="25" spans="1:66" ht="15.75" customHeight="1">
      <c r="A25" s="51"/>
      <c r="B25" s="785" t="s">
        <v>93</v>
      </c>
      <c r="C25" s="768"/>
      <c r="D25" s="37">
        <f t="shared" ref="D25:U25" si="31">D19-D23+D24</f>
        <v>4255.6783560000003</v>
      </c>
      <c r="E25" s="38">
        <f t="shared" si="31"/>
        <v>4205.3981429999985</v>
      </c>
      <c r="F25" s="38">
        <f t="shared" si="31"/>
        <v>4123.9946720000007</v>
      </c>
      <c r="G25" s="38">
        <f t="shared" si="31"/>
        <v>3644.1708700000017</v>
      </c>
      <c r="H25" s="484">
        <f t="shared" si="31"/>
        <v>16229.242041</v>
      </c>
      <c r="I25" s="38">
        <f t="shared" si="31"/>
        <v>5171.9380569999994</v>
      </c>
      <c r="J25" s="38">
        <f t="shared" si="31"/>
        <v>4793.546530999999</v>
      </c>
      <c r="K25" s="38">
        <f t="shared" si="31"/>
        <v>4776.5047670000013</v>
      </c>
      <c r="L25" s="38">
        <f t="shared" si="31"/>
        <v>3674.4877830000019</v>
      </c>
      <c r="M25" s="484">
        <f t="shared" si="31"/>
        <v>18416.477137999998</v>
      </c>
      <c r="N25" s="38">
        <f t="shared" si="31"/>
        <v>5788.4270989999995</v>
      </c>
      <c r="O25" s="38">
        <f t="shared" si="31"/>
        <v>5303.3529820000031</v>
      </c>
      <c r="P25" s="38">
        <f t="shared" si="31"/>
        <v>4424.5846969999984</v>
      </c>
      <c r="Q25" s="38">
        <f t="shared" si="31"/>
        <v>2705.3034759999996</v>
      </c>
      <c r="R25" s="484">
        <f t="shared" si="31"/>
        <v>18221.668254</v>
      </c>
      <c r="S25" s="38">
        <f t="shared" si="31"/>
        <v>6373.9788870000002</v>
      </c>
      <c r="T25" s="38">
        <f t="shared" si="31"/>
        <v>5021.6587779999982</v>
      </c>
      <c r="U25" s="38">
        <f t="shared" si="31"/>
        <v>4434.4576309999975</v>
      </c>
      <c r="V25" s="38">
        <f t="shared" si="3"/>
        <v>3401.1869950000037</v>
      </c>
      <c r="W25" s="649">
        <v>19231.282291</v>
      </c>
      <c r="X25" s="38">
        <f t="shared" ref="X25:AA25" si="32">X19-X23+X24</f>
        <v>5564.0029130000012</v>
      </c>
      <c r="Y25" s="38">
        <f t="shared" si="32"/>
        <v>5431.1751179999992</v>
      </c>
      <c r="Z25" s="38">
        <f t="shared" si="32"/>
        <v>5316.259978</v>
      </c>
      <c r="AA25" s="43">
        <f t="shared" si="32"/>
        <v>4878.0347779930817</v>
      </c>
      <c r="AB25" s="656">
        <f t="shared" si="30"/>
        <v>21189.472786993079</v>
      </c>
      <c r="AC25" s="43">
        <f t="shared" ref="AC25:AQ25" si="33">AC19-AC23+AC24</f>
        <v>6951.0310409254325</v>
      </c>
      <c r="AD25" s="44">
        <f t="shared" si="33"/>
        <v>6815.6638204908249</v>
      </c>
      <c r="AE25" s="43">
        <f t="shared" si="33"/>
        <v>6634.9831437039502</v>
      </c>
      <c r="AF25" s="44">
        <f t="shared" si="33"/>
        <v>5107.8567956958523</v>
      </c>
      <c r="AG25" s="665">
        <f t="shared" si="33"/>
        <v>25509.534800816058</v>
      </c>
      <c r="AH25" s="44">
        <f t="shared" si="33"/>
        <v>7878.521649798261</v>
      </c>
      <c r="AI25" s="43">
        <f t="shared" si="33"/>
        <v>7746.7343844762172</v>
      </c>
      <c r="AJ25" s="44">
        <f t="shared" si="33"/>
        <v>7518.7550361363265</v>
      </c>
      <c r="AK25" s="43">
        <f t="shared" si="33"/>
        <v>5786.7049587854153</v>
      </c>
      <c r="AL25" s="668">
        <f t="shared" si="33"/>
        <v>28930.71602919621</v>
      </c>
      <c r="AM25" s="44">
        <f t="shared" si="33"/>
        <v>8939.0118683833862</v>
      </c>
      <c r="AN25" s="43">
        <f t="shared" si="33"/>
        <v>8790.7647738739197</v>
      </c>
      <c r="AO25" s="44">
        <f t="shared" si="33"/>
        <v>8528.0445361082548</v>
      </c>
      <c r="AP25" s="43">
        <f t="shared" si="33"/>
        <v>6560.4135614652005</v>
      </c>
      <c r="AQ25" s="656">
        <f t="shared" si="33"/>
        <v>32818.234739830754</v>
      </c>
      <c r="AR25" s="52"/>
      <c r="AS25" s="52"/>
      <c r="AT25" s="52"/>
      <c r="AU25" s="52"/>
      <c r="AV25" s="52"/>
      <c r="AW25" s="52"/>
      <c r="AX25" s="52"/>
      <c r="AY25" s="52"/>
      <c r="AZ25" s="52"/>
      <c r="BA25" s="52"/>
      <c r="BB25" s="52"/>
      <c r="BC25" s="52"/>
      <c r="BD25" s="52"/>
      <c r="BE25" s="52"/>
      <c r="BF25" s="52"/>
      <c r="BG25" s="52"/>
      <c r="BH25" s="52"/>
      <c r="BI25" s="52"/>
      <c r="BJ25" s="52"/>
      <c r="BK25" s="52"/>
      <c r="BL25" s="52"/>
      <c r="BM25" s="52"/>
      <c r="BN25" s="52"/>
    </row>
    <row r="26" spans="1:66" ht="15.75" customHeight="1">
      <c r="A26" s="22"/>
      <c r="B26" s="34" t="s">
        <v>94</v>
      </c>
      <c r="C26" s="66"/>
      <c r="D26" s="67"/>
      <c r="E26" s="29"/>
      <c r="F26" s="29"/>
      <c r="G26" s="29"/>
      <c r="H26" s="486"/>
      <c r="I26" s="29"/>
      <c r="J26" s="29"/>
      <c r="K26" s="29"/>
      <c r="L26" s="29"/>
      <c r="M26" s="483"/>
      <c r="N26" s="29"/>
      <c r="O26" s="29"/>
      <c r="P26" s="29"/>
      <c r="Q26" s="26"/>
      <c r="R26" s="483"/>
      <c r="S26" s="26"/>
      <c r="T26" s="26"/>
      <c r="U26" s="26"/>
      <c r="V26" s="26"/>
      <c r="W26" s="648"/>
      <c r="X26" s="26"/>
      <c r="Y26" s="26"/>
      <c r="Z26" s="26"/>
      <c r="AA26" s="4">
        <f>(AA82+AA90)*AA61</f>
        <v>1127.7504667540518</v>
      </c>
      <c r="AB26" s="657">
        <f>AA26</f>
        <v>1127.7504667540518</v>
      </c>
      <c r="AC26" s="4">
        <f t="shared" ref="AC26:AF26" si="34">(AC82+AC90)*AC61</f>
        <v>1022.8180871775318</v>
      </c>
      <c r="AD26" s="33">
        <f t="shared" si="34"/>
        <v>856.42266651977559</v>
      </c>
      <c r="AE26" s="33">
        <f t="shared" si="34"/>
        <v>596.30120612331677</v>
      </c>
      <c r="AF26" s="33">
        <f t="shared" si="34"/>
        <v>737.63530143378171</v>
      </c>
      <c r="AG26" s="657">
        <f>SUM(AC26:AF26)</f>
        <v>3213.1772612544055</v>
      </c>
      <c r="AH26" s="33">
        <f t="shared" ref="AH26:AK26" si="35">(AH82+AH90)*AH61</f>
        <v>733.52220027591659</v>
      </c>
      <c r="AI26" s="33">
        <f t="shared" si="35"/>
        <v>749.57325391341703</v>
      </c>
      <c r="AJ26" s="33">
        <f t="shared" si="35"/>
        <v>707.233630839292</v>
      </c>
      <c r="AK26" s="4">
        <f t="shared" si="35"/>
        <v>755.96216714830541</v>
      </c>
      <c r="AL26" s="657">
        <f>SUM(AH26:AK26)</f>
        <v>2946.2912521769313</v>
      </c>
      <c r="AM26" s="33">
        <f t="shared" ref="AM26:AP26" si="36">(AM82+AM90)*AM61</f>
        <v>770.26330710488435</v>
      </c>
      <c r="AN26" s="33">
        <f t="shared" si="36"/>
        <v>722.11836343048492</v>
      </c>
      <c r="AO26" s="33">
        <f t="shared" si="36"/>
        <v>752.1664415997642</v>
      </c>
      <c r="AP26" s="33">
        <f t="shared" si="36"/>
        <v>792.23796972193225</v>
      </c>
      <c r="AQ26" s="657">
        <f>SUM(AM26:AP26)</f>
        <v>3036.7860818570657</v>
      </c>
    </row>
    <row r="27" spans="1:66" ht="15.75" customHeight="1">
      <c r="A27" s="22"/>
      <c r="B27" s="34" t="s">
        <v>95</v>
      </c>
      <c r="C27" s="66"/>
      <c r="D27" s="67">
        <v>114.141334</v>
      </c>
      <c r="E27" s="29">
        <v>50.363594999999997</v>
      </c>
      <c r="F27" s="29">
        <v>28.495070999999999</v>
      </c>
      <c r="G27" s="29">
        <v>227</v>
      </c>
      <c r="H27" s="483">
        <v>420</v>
      </c>
      <c r="I27" s="29">
        <v>26</v>
      </c>
      <c r="J27" s="29">
        <v>9.8357089999999996</v>
      </c>
      <c r="K27" s="29">
        <v>205.92337499999999</v>
      </c>
      <c r="L27" s="29">
        <v>153.25270599999999</v>
      </c>
      <c r="M27" s="483">
        <v>395.01179000000002</v>
      </c>
      <c r="N27" s="29">
        <v>24.236982000000001</v>
      </c>
      <c r="O27" s="29">
        <v>23.920750000000002</v>
      </c>
      <c r="P27" s="29">
        <v>428.84226799999999</v>
      </c>
      <c r="Q27" s="26">
        <v>75.966126000000003</v>
      </c>
      <c r="R27" s="483">
        <v>552.96612600000003</v>
      </c>
      <c r="S27" s="26">
        <v>15</v>
      </c>
      <c r="T27" s="26">
        <v>-0.18370500000000001</v>
      </c>
      <c r="U27" s="26"/>
      <c r="V27" s="62"/>
      <c r="W27" s="648"/>
      <c r="X27" s="31"/>
      <c r="Y27" s="26"/>
      <c r="Z27" s="26"/>
      <c r="AA27" s="4">
        <f t="shared" ref="AA27:AQ27" si="37">AA62*(AA82+AA90)</f>
        <v>0</v>
      </c>
      <c r="AB27" s="657">
        <f t="shared" si="37"/>
        <v>0</v>
      </c>
      <c r="AC27" s="4">
        <f t="shared" si="37"/>
        <v>0</v>
      </c>
      <c r="AD27" s="33">
        <f t="shared" si="37"/>
        <v>0</v>
      </c>
      <c r="AE27" s="33">
        <f t="shared" si="37"/>
        <v>0</v>
      </c>
      <c r="AF27" s="33">
        <f t="shared" si="37"/>
        <v>0</v>
      </c>
      <c r="AG27" s="657">
        <f t="shared" si="37"/>
        <v>0</v>
      </c>
      <c r="AH27" s="4">
        <f t="shared" si="37"/>
        <v>0</v>
      </c>
      <c r="AI27" s="33">
        <f t="shared" si="37"/>
        <v>0</v>
      </c>
      <c r="AJ27" s="33">
        <f t="shared" si="37"/>
        <v>0</v>
      </c>
      <c r="AK27" s="4">
        <f t="shared" si="37"/>
        <v>0</v>
      </c>
      <c r="AL27" s="657">
        <f t="shared" si="37"/>
        <v>0</v>
      </c>
      <c r="AM27" s="4">
        <f t="shared" si="37"/>
        <v>0</v>
      </c>
      <c r="AN27" s="33">
        <f t="shared" si="37"/>
        <v>0</v>
      </c>
      <c r="AO27" s="33">
        <f t="shared" si="37"/>
        <v>0</v>
      </c>
      <c r="AP27" s="33">
        <f t="shared" si="37"/>
        <v>0</v>
      </c>
      <c r="AQ27" s="657">
        <f t="shared" si="37"/>
        <v>0</v>
      </c>
    </row>
    <row r="28" spans="1:66" ht="15.75" customHeight="1">
      <c r="A28" s="22"/>
      <c r="B28" s="34" t="s">
        <v>96</v>
      </c>
      <c r="C28" s="66"/>
      <c r="D28" s="67"/>
      <c r="E28" s="29"/>
      <c r="F28" s="29"/>
      <c r="G28" s="29"/>
      <c r="H28" s="486"/>
      <c r="I28" s="29"/>
      <c r="J28" s="29"/>
      <c r="K28" s="29"/>
      <c r="L28" s="29"/>
      <c r="M28" s="486"/>
      <c r="N28" s="29"/>
      <c r="O28" s="29"/>
      <c r="P28" s="29"/>
      <c r="Q28" s="29"/>
      <c r="R28" s="486"/>
      <c r="S28" s="29"/>
      <c r="T28" s="29"/>
      <c r="U28" s="26"/>
      <c r="V28" s="62"/>
      <c r="W28" s="648"/>
      <c r="X28" s="26"/>
      <c r="Y28" s="26"/>
      <c r="Z28" s="26"/>
      <c r="AA28" s="4"/>
      <c r="AB28" s="657"/>
      <c r="AC28" s="4"/>
      <c r="AD28" s="33"/>
      <c r="AE28" s="33"/>
      <c r="AF28" s="33"/>
      <c r="AG28" s="657"/>
      <c r="AH28" s="4"/>
      <c r="AI28" s="33"/>
      <c r="AJ28" s="33"/>
      <c r="AK28" s="4"/>
      <c r="AL28" s="657"/>
      <c r="AN28" s="68"/>
      <c r="AO28" s="68"/>
      <c r="AP28" s="68"/>
      <c r="AQ28" s="672"/>
    </row>
    <row r="29" spans="1:66" ht="15.75" customHeight="1">
      <c r="A29" s="22"/>
      <c r="B29" s="34" t="s">
        <v>97</v>
      </c>
      <c r="C29" s="66"/>
      <c r="D29" s="67"/>
      <c r="E29" s="29"/>
      <c r="F29" s="26"/>
      <c r="G29" s="29"/>
      <c r="H29" s="483"/>
      <c r="I29" s="26"/>
      <c r="J29" s="29"/>
      <c r="K29" s="26"/>
      <c r="L29" s="29"/>
      <c r="M29" s="483"/>
      <c r="N29" s="26"/>
      <c r="O29" s="26"/>
      <c r="P29" s="26"/>
      <c r="Q29" s="26"/>
      <c r="R29" s="483"/>
      <c r="S29" s="26"/>
      <c r="T29" s="26"/>
      <c r="U29" s="31">
        <v>1155.09059</v>
      </c>
      <c r="V29" s="62"/>
      <c r="W29" s="647">
        <v>4650.6194269999996</v>
      </c>
      <c r="X29" s="31">
        <v>1464.2206450000001</v>
      </c>
      <c r="Y29" s="31">
        <v>1591.8902109999999</v>
      </c>
      <c r="Z29" s="31">
        <v>1507.821171</v>
      </c>
      <c r="AA29" s="4">
        <f>AVERAGE(V29,X29:Z29)</f>
        <v>1521.3106756666668</v>
      </c>
      <c r="AB29" s="657">
        <f>SUM(X29:AA29)</f>
        <v>6085.2427026666674</v>
      </c>
      <c r="AC29" s="4">
        <f>AVERAGE(X29:AA29)</f>
        <v>1521.3106756666668</v>
      </c>
      <c r="AD29" s="33">
        <f>AVERAGE(Y29:AA29,AC29)</f>
        <v>1535.5831833333334</v>
      </c>
      <c r="AE29" s="33">
        <f>AVERAGE(Z29:AA29,AC29:AD29)</f>
        <v>1521.5064264166667</v>
      </c>
      <c r="AF29" s="33">
        <f>AVERAGE(AA29,AC29:AE29)</f>
        <v>1524.9277402708335</v>
      </c>
      <c r="AG29" s="657">
        <f>SUM(AC29:AF29)</f>
        <v>6103.3280256875005</v>
      </c>
      <c r="AH29" s="4">
        <f>AVERAGE(AC29:AF29)</f>
        <v>1525.8320064218751</v>
      </c>
      <c r="AI29" s="33">
        <f>AVERAGE(AD29:AF29,AH29)</f>
        <v>1526.962339110677</v>
      </c>
      <c r="AJ29" s="33">
        <f>AVERAGE(AE29:AF29,AH29:AI29)</f>
        <v>1524.8071280550132</v>
      </c>
      <c r="AK29" s="4">
        <f>AVERAGE(AF29,AH29:AJ29)</f>
        <v>1525.6323034645995</v>
      </c>
      <c r="AL29" s="657">
        <f>SUM(AH29:AK29)</f>
        <v>6103.2337770521644</v>
      </c>
      <c r="AM29" s="69">
        <f>AVERAGE(AH29:AK29)</f>
        <v>1525.8084442630411</v>
      </c>
      <c r="AN29" s="65">
        <f>AVERAGE(AI29:AK29,AM29)</f>
        <v>1525.8025537233325</v>
      </c>
      <c r="AO29" s="65">
        <f>AVERAGE(AJ29:AK29,AM29:AN29)</f>
        <v>1525.5126073764966</v>
      </c>
      <c r="AP29" s="65">
        <f>AVERAGE(AK29,AM29:AO29)</f>
        <v>1525.6889772068675</v>
      </c>
      <c r="AQ29" s="671">
        <f>SUM(AM29:AP29)</f>
        <v>6102.8125825697371</v>
      </c>
    </row>
    <row r="30" spans="1:66" ht="15.75" customHeight="1">
      <c r="A30" s="22"/>
      <c r="B30" s="34" t="s">
        <v>98</v>
      </c>
      <c r="C30" s="66"/>
      <c r="D30" s="67">
        <v>799.73438199999998</v>
      </c>
      <c r="E30" s="29">
        <v>708.70571500000005</v>
      </c>
      <c r="F30" s="26">
        <v>727.26466500000004</v>
      </c>
      <c r="G30" s="29">
        <v>721.75677199999996</v>
      </c>
      <c r="H30" s="483">
        <v>2957.461534</v>
      </c>
      <c r="I30" s="26">
        <v>925.53435200000001</v>
      </c>
      <c r="J30" s="29">
        <v>722.69649900000002</v>
      </c>
      <c r="K30" s="26">
        <v>557.99991999999997</v>
      </c>
      <c r="L30" s="29">
        <v>786.94362899999999</v>
      </c>
      <c r="M30" s="483">
        <v>2993.1743999999999</v>
      </c>
      <c r="N30" s="26">
        <v>940.830648</v>
      </c>
      <c r="O30" s="26">
        <v>902.64293299999997</v>
      </c>
      <c r="P30" s="26">
        <v>546.63475800000003</v>
      </c>
      <c r="Q30" s="26">
        <v>1014.180456</v>
      </c>
      <c r="R30" s="483">
        <v>3404.2887949999999</v>
      </c>
      <c r="S30" s="26">
        <v>1072.4067110000001</v>
      </c>
      <c r="T30" s="26">
        <v>1050.465819</v>
      </c>
      <c r="U30" s="26"/>
      <c r="V30" s="62"/>
      <c r="W30" s="648"/>
      <c r="X30" s="26"/>
      <c r="Y30" s="26"/>
      <c r="Z30" s="26"/>
      <c r="AA30" s="4"/>
      <c r="AB30" s="657"/>
      <c r="AC30" s="4"/>
      <c r="AD30" s="33"/>
      <c r="AE30" s="33"/>
      <c r="AF30" s="33"/>
      <c r="AG30" s="657"/>
      <c r="AH30" s="4"/>
      <c r="AI30" s="33"/>
      <c r="AJ30" s="33"/>
      <c r="AK30" s="4"/>
      <c r="AL30" s="657"/>
      <c r="AN30" s="68"/>
      <c r="AO30" s="68"/>
      <c r="AP30" s="68"/>
      <c r="AQ30" s="672"/>
    </row>
    <row r="31" spans="1:66" ht="15.75" customHeight="1">
      <c r="A31" s="22"/>
      <c r="B31" s="785" t="s">
        <v>99</v>
      </c>
      <c r="C31" s="768"/>
      <c r="D31" s="37">
        <f t="shared" ref="D31:G31" si="38">SUM(D26:D30)</f>
        <v>913.87571600000001</v>
      </c>
      <c r="E31" s="38">
        <f t="shared" si="38"/>
        <v>759.06931000000009</v>
      </c>
      <c r="F31" s="38">
        <f t="shared" si="38"/>
        <v>755.75973600000009</v>
      </c>
      <c r="G31" s="38">
        <f t="shared" si="38"/>
        <v>948.75677199999996</v>
      </c>
      <c r="H31" s="484">
        <f>SUM(D31:G31)</f>
        <v>3377.461534</v>
      </c>
      <c r="I31" s="38">
        <f t="shared" ref="I31:L31" si="39">SUM(I26:I30)</f>
        <v>951.53435200000001</v>
      </c>
      <c r="J31" s="38">
        <f t="shared" si="39"/>
        <v>732.53220799999997</v>
      </c>
      <c r="K31" s="38">
        <f t="shared" si="39"/>
        <v>763.92329499999994</v>
      </c>
      <c r="L31" s="38">
        <f t="shared" si="39"/>
        <v>940.19633499999998</v>
      </c>
      <c r="M31" s="484">
        <f>SUM(I31:L31)</f>
        <v>3388.1861899999999</v>
      </c>
      <c r="N31" s="38">
        <f t="shared" ref="N31:Q31" si="40">SUM(N26:N30)</f>
        <v>965.06763000000001</v>
      </c>
      <c r="O31" s="38">
        <f t="shared" si="40"/>
        <v>926.56368299999997</v>
      </c>
      <c r="P31" s="38">
        <f t="shared" si="40"/>
        <v>975.47702600000002</v>
      </c>
      <c r="Q31" s="38">
        <f t="shared" si="40"/>
        <v>1090.1465820000001</v>
      </c>
      <c r="R31" s="484">
        <f>SUM(N31:Q31)</f>
        <v>3957.2549209999997</v>
      </c>
      <c r="S31" s="38">
        <f t="shared" ref="S31:U31" si="41">SUM(S26:S30)</f>
        <v>1087.4067110000001</v>
      </c>
      <c r="T31" s="38">
        <f t="shared" si="41"/>
        <v>1050.2821140000001</v>
      </c>
      <c r="U31" s="38">
        <f t="shared" si="41"/>
        <v>1155.09059</v>
      </c>
      <c r="V31" s="38">
        <f t="shared" ref="V31:V39" si="42">W31-SUM(S31:U31)</f>
        <v>1357.8400119999997</v>
      </c>
      <c r="W31" s="649">
        <v>4650.6194269999996</v>
      </c>
      <c r="X31" s="38">
        <f t="shared" ref="X31:Y31" si="43">X29</f>
        <v>1464.2206450000001</v>
      </c>
      <c r="Y31" s="38">
        <f t="shared" si="43"/>
        <v>1591.8902109999999</v>
      </c>
      <c r="Z31" s="38">
        <f t="shared" ref="Z31:AQ31" si="44">SUM(Z26:Z30)</f>
        <v>1507.821171</v>
      </c>
      <c r="AA31" s="43">
        <f t="shared" si="44"/>
        <v>2649.0611424207186</v>
      </c>
      <c r="AB31" s="656">
        <f t="shared" si="44"/>
        <v>7212.9931694207189</v>
      </c>
      <c r="AC31" s="43">
        <f t="shared" si="44"/>
        <v>2544.1287628441987</v>
      </c>
      <c r="AD31" s="44">
        <f t="shared" si="44"/>
        <v>2392.0058498531089</v>
      </c>
      <c r="AE31" s="44">
        <f t="shared" si="44"/>
        <v>2117.8076325399834</v>
      </c>
      <c r="AF31" s="44">
        <f t="shared" si="44"/>
        <v>2262.563041704615</v>
      </c>
      <c r="AG31" s="656">
        <f t="shared" si="44"/>
        <v>9316.5052869419051</v>
      </c>
      <c r="AH31" s="43">
        <f t="shared" si="44"/>
        <v>2259.3542066977916</v>
      </c>
      <c r="AI31" s="44">
        <f t="shared" si="44"/>
        <v>2276.5355930240939</v>
      </c>
      <c r="AJ31" s="44">
        <f t="shared" si="44"/>
        <v>2232.0407588943053</v>
      </c>
      <c r="AK31" s="43">
        <f t="shared" si="44"/>
        <v>2281.5944706129048</v>
      </c>
      <c r="AL31" s="656">
        <f t="shared" si="44"/>
        <v>9049.5250292290948</v>
      </c>
      <c r="AM31" s="43">
        <f t="shared" si="44"/>
        <v>2296.0717513679256</v>
      </c>
      <c r="AN31" s="44">
        <f t="shared" si="44"/>
        <v>2247.9209171538173</v>
      </c>
      <c r="AO31" s="44">
        <f t="shared" si="44"/>
        <v>2277.6790489762607</v>
      </c>
      <c r="AP31" s="44">
        <f t="shared" si="44"/>
        <v>2317.9269469287997</v>
      </c>
      <c r="AQ31" s="656">
        <f t="shared" si="44"/>
        <v>9139.5986644268032</v>
      </c>
    </row>
    <row r="32" spans="1:66" ht="15.75" customHeight="1">
      <c r="A32" s="22"/>
      <c r="B32" s="744" t="s">
        <v>100</v>
      </c>
      <c r="C32" s="736"/>
      <c r="D32" s="70">
        <f t="shared" ref="D32:U32" si="45">D25+D31</f>
        <v>5169.5540720000008</v>
      </c>
      <c r="E32" s="62">
        <f t="shared" si="45"/>
        <v>4964.4674529999984</v>
      </c>
      <c r="F32" s="62">
        <f t="shared" si="45"/>
        <v>4879.7544080000007</v>
      </c>
      <c r="G32" s="62">
        <f t="shared" si="45"/>
        <v>4592.9276420000015</v>
      </c>
      <c r="H32" s="485">
        <f t="shared" si="45"/>
        <v>19606.703575</v>
      </c>
      <c r="I32" s="62">
        <f t="shared" si="45"/>
        <v>6123.4724089999991</v>
      </c>
      <c r="J32" s="62">
        <f t="shared" si="45"/>
        <v>5526.0787389999987</v>
      </c>
      <c r="K32" s="62">
        <f t="shared" si="45"/>
        <v>5540.4280620000009</v>
      </c>
      <c r="L32" s="62">
        <f t="shared" si="45"/>
        <v>4614.6841180000019</v>
      </c>
      <c r="M32" s="485">
        <f t="shared" si="45"/>
        <v>21804.663327999999</v>
      </c>
      <c r="N32" s="62">
        <f t="shared" si="45"/>
        <v>6753.494729</v>
      </c>
      <c r="O32" s="62">
        <f t="shared" si="45"/>
        <v>6229.9166650000034</v>
      </c>
      <c r="P32" s="62">
        <f t="shared" si="45"/>
        <v>5400.0617229999989</v>
      </c>
      <c r="Q32" s="62">
        <f t="shared" si="45"/>
        <v>3795.4500579999994</v>
      </c>
      <c r="R32" s="485">
        <f t="shared" si="45"/>
        <v>22178.923175</v>
      </c>
      <c r="S32" s="62">
        <f t="shared" si="45"/>
        <v>7461.3855980000008</v>
      </c>
      <c r="T32" s="62">
        <f t="shared" si="45"/>
        <v>6071.9408919999987</v>
      </c>
      <c r="U32" s="62">
        <f t="shared" si="45"/>
        <v>5589.5482209999973</v>
      </c>
      <c r="V32" s="62">
        <f t="shared" si="42"/>
        <v>4759.0270070000042</v>
      </c>
      <c r="W32" s="647">
        <v>23881.901718000001</v>
      </c>
      <c r="X32" s="62">
        <f>X25+X29</f>
        <v>7028.2235580000015</v>
      </c>
      <c r="Y32" s="31">
        <v>7023.065329</v>
      </c>
      <c r="Z32" s="62">
        <f t="shared" ref="Z32:AQ32" si="46">Z25+Z31</f>
        <v>6824.0811489999996</v>
      </c>
      <c r="AA32" s="63">
        <f t="shared" si="46"/>
        <v>7527.0959204137998</v>
      </c>
      <c r="AB32" s="658">
        <f t="shared" si="46"/>
        <v>28402.465956413798</v>
      </c>
      <c r="AC32" s="63">
        <f t="shared" si="46"/>
        <v>9495.1598037696313</v>
      </c>
      <c r="AD32" s="64">
        <f t="shared" si="46"/>
        <v>9207.6696703439338</v>
      </c>
      <c r="AE32" s="64">
        <f t="shared" si="46"/>
        <v>8752.7907762439336</v>
      </c>
      <c r="AF32" s="64">
        <f t="shared" si="46"/>
        <v>7370.4198374004673</v>
      </c>
      <c r="AG32" s="658">
        <f t="shared" si="46"/>
        <v>34826.040087757967</v>
      </c>
      <c r="AH32" s="63">
        <f t="shared" si="46"/>
        <v>10137.875856496052</v>
      </c>
      <c r="AI32" s="64">
        <f t="shared" si="46"/>
        <v>10023.269977500311</v>
      </c>
      <c r="AJ32" s="64">
        <f t="shared" si="46"/>
        <v>9750.7957950306318</v>
      </c>
      <c r="AK32" s="63">
        <f t="shared" si="46"/>
        <v>8068.2994293983202</v>
      </c>
      <c r="AL32" s="658">
        <f t="shared" si="46"/>
        <v>37980.241058425308</v>
      </c>
      <c r="AM32" s="63">
        <f t="shared" si="46"/>
        <v>11235.083619751313</v>
      </c>
      <c r="AN32" s="64">
        <f t="shared" si="46"/>
        <v>11038.685691027737</v>
      </c>
      <c r="AO32" s="64">
        <f t="shared" si="46"/>
        <v>10805.723585084515</v>
      </c>
      <c r="AP32" s="64">
        <f t="shared" si="46"/>
        <v>8878.3405083939997</v>
      </c>
      <c r="AQ32" s="658">
        <f t="shared" si="46"/>
        <v>41957.833404257559</v>
      </c>
    </row>
    <row r="33" spans="1:56" ht="15.75" customHeight="1">
      <c r="A33" s="22"/>
      <c r="B33" s="34" t="s">
        <v>101</v>
      </c>
      <c r="C33" s="59"/>
      <c r="D33" s="55">
        <v>246.01500200000001</v>
      </c>
      <c r="E33" s="26">
        <v>236.34362100000001</v>
      </c>
      <c r="F33" s="26">
        <f>(236684022/1000000)</f>
        <v>236.684022</v>
      </c>
      <c r="G33" s="29">
        <v>218.75398200000001</v>
      </c>
      <c r="H33" s="483">
        <f>SUM(D33:G33)</f>
        <v>937.79662699999994</v>
      </c>
      <c r="I33" s="26">
        <f>(291962599/1000000)</f>
        <v>291.96259900000001</v>
      </c>
      <c r="J33" s="29">
        <v>263.31557400000003</v>
      </c>
      <c r="K33" s="26">
        <v>273.29173600000001</v>
      </c>
      <c r="L33" s="26">
        <v>222.658085</v>
      </c>
      <c r="M33" s="483">
        <f>SUM(I33:L33)</f>
        <v>1051.2279940000001</v>
      </c>
      <c r="N33" s="26">
        <f>324256049/1000000</f>
        <v>324.25604900000002</v>
      </c>
      <c r="O33" s="26">
        <f>299370246/1000000</f>
        <v>299.37024600000001</v>
      </c>
      <c r="P33" s="26">
        <f>290584973/1000000</f>
        <v>290.58497299999999</v>
      </c>
      <c r="Q33" s="26">
        <v>165.36070699999999</v>
      </c>
      <c r="R33" s="483">
        <f>SUM(N33:Q33)</f>
        <v>1079.5719750000001</v>
      </c>
      <c r="S33" s="26">
        <f>360070723/1000000</f>
        <v>360.07072299999999</v>
      </c>
      <c r="T33" s="26">
        <f>292113630/1000000</f>
        <v>292.11363</v>
      </c>
      <c r="U33" s="31">
        <v>281.51513199999999</v>
      </c>
      <c r="V33" s="62">
        <f t="shared" si="42"/>
        <v>226.42739399999994</v>
      </c>
      <c r="W33" s="647">
        <v>1160.1268789999999</v>
      </c>
      <c r="X33" s="31">
        <v>332.81084499999997</v>
      </c>
      <c r="Y33" s="31">
        <v>332.99425200000002</v>
      </c>
      <c r="Z33" s="31">
        <v>337.44474300000002</v>
      </c>
      <c r="AA33" s="4">
        <f>(AA32*5%)*90%</f>
        <v>338.71931641862102</v>
      </c>
      <c r="AB33" s="657">
        <f>SUM(X33:AA33)</f>
        <v>1341.969156418621</v>
      </c>
      <c r="AC33" s="4">
        <f t="shared" ref="AC33:AF33" si="47">(AC32*5%)*90%</f>
        <v>427.28219116963345</v>
      </c>
      <c r="AD33" s="33">
        <f t="shared" si="47"/>
        <v>414.34513516547707</v>
      </c>
      <c r="AE33" s="33">
        <f t="shared" si="47"/>
        <v>393.87558493097703</v>
      </c>
      <c r="AF33" s="33">
        <f t="shared" si="47"/>
        <v>331.66889268302106</v>
      </c>
      <c r="AG33" s="657">
        <f>SUM(AC33:AF33)</f>
        <v>1567.1718039491086</v>
      </c>
      <c r="AH33" s="4">
        <f t="shared" ref="AH33:AK33" si="48">(AH32*5%)*90%</f>
        <v>456.20441354232236</v>
      </c>
      <c r="AI33" s="33">
        <f t="shared" si="48"/>
        <v>451.04714898751405</v>
      </c>
      <c r="AJ33" s="33">
        <f t="shared" si="48"/>
        <v>438.78581077637847</v>
      </c>
      <c r="AK33" s="4">
        <f t="shared" si="48"/>
        <v>363.07347432292448</v>
      </c>
      <c r="AL33" s="657">
        <f>SUM(AH33:AK33)</f>
        <v>1709.1108476291395</v>
      </c>
      <c r="AM33" s="4">
        <f t="shared" ref="AM33:AP33" si="49">(AM32*5%)*90%</f>
        <v>505.57876288880908</v>
      </c>
      <c r="AN33" s="33">
        <f t="shared" si="49"/>
        <v>496.74085609624819</v>
      </c>
      <c r="AO33" s="33">
        <f t="shared" si="49"/>
        <v>486.25756132880321</v>
      </c>
      <c r="AP33" s="33">
        <f t="shared" si="49"/>
        <v>399.52532287772999</v>
      </c>
      <c r="AQ33" s="657">
        <f>SUM(AM33:AP33)</f>
        <v>1888.1025031915906</v>
      </c>
    </row>
    <row r="34" spans="1:56" ht="15.75" customHeight="1">
      <c r="A34" s="22"/>
      <c r="B34" s="71" t="s">
        <v>102</v>
      </c>
      <c r="C34" s="56"/>
      <c r="D34" s="57">
        <f t="shared" ref="D34:U34" si="50">D32-D33</f>
        <v>4923.5390700000007</v>
      </c>
      <c r="E34" s="38">
        <f t="shared" si="50"/>
        <v>4728.1238319999984</v>
      </c>
      <c r="F34" s="38">
        <f t="shared" si="50"/>
        <v>4643.0703860000003</v>
      </c>
      <c r="G34" s="38">
        <f t="shared" si="50"/>
        <v>4374.1736600000013</v>
      </c>
      <c r="H34" s="484">
        <f t="shared" si="50"/>
        <v>18668.906948</v>
      </c>
      <c r="I34" s="38">
        <f t="shared" si="50"/>
        <v>5831.5098099999987</v>
      </c>
      <c r="J34" s="38">
        <f t="shared" si="50"/>
        <v>5262.7631649999985</v>
      </c>
      <c r="K34" s="38">
        <f t="shared" si="50"/>
        <v>5267.1363260000007</v>
      </c>
      <c r="L34" s="38">
        <f t="shared" si="50"/>
        <v>4392.0260330000019</v>
      </c>
      <c r="M34" s="484">
        <f t="shared" si="50"/>
        <v>20753.435333999998</v>
      </c>
      <c r="N34" s="38">
        <f t="shared" si="50"/>
        <v>6429.2386800000004</v>
      </c>
      <c r="O34" s="38">
        <f t="shared" si="50"/>
        <v>5930.546419000003</v>
      </c>
      <c r="P34" s="38">
        <f t="shared" si="50"/>
        <v>5109.4767499999989</v>
      </c>
      <c r="Q34" s="38">
        <f t="shared" si="50"/>
        <v>3630.0893509999996</v>
      </c>
      <c r="R34" s="484">
        <f t="shared" si="50"/>
        <v>21099.351200000001</v>
      </c>
      <c r="S34" s="38">
        <f t="shared" si="50"/>
        <v>7101.3148750000009</v>
      </c>
      <c r="T34" s="38">
        <f t="shared" si="50"/>
        <v>5779.8272619999989</v>
      </c>
      <c r="U34" s="38">
        <f t="shared" si="50"/>
        <v>5308.0330889999968</v>
      </c>
      <c r="V34" s="38">
        <f t="shared" si="42"/>
        <v>4532.5996130000058</v>
      </c>
      <c r="W34" s="649">
        <v>22721.774839000002</v>
      </c>
      <c r="X34" s="38">
        <f t="shared" ref="X34:AQ34" si="51">X32-X33</f>
        <v>6695.4127130000015</v>
      </c>
      <c r="Y34" s="38">
        <f t="shared" si="51"/>
        <v>6690.0710769999996</v>
      </c>
      <c r="Z34" s="38">
        <f t="shared" si="51"/>
        <v>6486.6364059999996</v>
      </c>
      <c r="AA34" s="72">
        <f t="shared" si="51"/>
        <v>7188.3766039951788</v>
      </c>
      <c r="AB34" s="659">
        <f t="shared" si="51"/>
        <v>27060.496799995177</v>
      </c>
      <c r="AC34" s="72">
        <f t="shared" si="51"/>
        <v>9067.8776125999975</v>
      </c>
      <c r="AD34" s="73">
        <f t="shared" si="51"/>
        <v>8793.3245351784572</v>
      </c>
      <c r="AE34" s="73">
        <f t="shared" si="51"/>
        <v>8358.9151913129572</v>
      </c>
      <c r="AF34" s="73">
        <f t="shared" si="51"/>
        <v>7038.7509447174461</v>
      </c>
      <c r="AG34" s="659">
        <f t="shared" si="51"/>
        <v>33258.868283808857</v>
      </c>
      <c r="AH34" s="72">
        <f t="shared" si="51"/>
        <v>9681.6714429537296</v>
      </c>
      <c r="AI34" s="73">
        <f t="shared" si="51"/>
        <v>9572.2228285127967</v>
      </c>
      <c r="AJ34" s="73">
        <f t="shared" si="51"/>
        <v>9312.0099842542531</v>
      </c>
      <c r="AK34" s="72">
        <f t="shared" si="51"/>
        <v>7705.2259550753961</v>
      </c>
      <c r="AL34" s="659">
        <f t="shared" si="51"/>
        <v>36271.130210796167</v>
      </c>
      <c r="AM34" s="72">
        <f t="shared" si="51"/>
        <v>10729.504856862504</v>
      </c>
      <c r="AN34" s="73">
        <f t="shared" si="51"/>
        <v>10541.944834931488</v>
      </c>
      <c r="AO34" s="73">
        <f t="shared" si="51"/>
        <v>10319.466023755713</v>
      </c>
      <c r="AP34" s="73">
        <f t="shared" si="51"/>
        <v>8478.8151855162705</v>
      </c>
      <c r="AQ34" s="659">
        <f t="shared" si="51"/>
        <v>40069.730901065966</v>
      </c>
    </row>
    <row r="35" spans="1:56" ht="15.75" customHeight="1">
      <c r="A35" s="22"/>
      <c r="B35" s="750" t="s">
        <v>103</v>
      </c>
      <c r="C35" s="736"/>
      <c r="D35" s="74">
        <v>1210.6580409999999</v>
      </c>
      <c r="E35" s="61">
        <v>1167.5458599999999</v>
      </c>
      <c r="F35" s="26">
        <f>(1064321113/1000000)</f>
        <v>1064.321113</v>
      </c>
      <c r="G35" s="29">
        <v>744.95693200000005</v>
      </c>
      <c r="H35" s="483">
        <f t="shared" ref="H35:H36" si="52">SUM(D35:G35)</f>
        <v>4187.4819459999999</v>
      </c>
      <c r="I35" s="26">
        <f>(1264897161/1000000)</f>
        <v>1264.8971610000001</v>
      </c>
      <c r="J35" s="29">
        <v>1170.8406179999999</v>
      </c>
      <c r="K35" s="26">
        <v>1202.3911539999999</v>
      </c>
      <c r="L35" s="26">
        <v>980.42069300000003</v>
      </c>
      <c r="M35" s="483">
        <f t="shared" ref="M35:M36" si="53">SUM(I35:L35)</f>
        <v>4618.549626</v>
      </c>
      <c r="N35" s="26">
        <f>1444802572/1000000</f>
        <v>1444.8025720000001</v>
      </c>
      <c r="O35" s="26">
        <f>1312145648/1000000</f>
        <v>1312.1456479999999</v>
      </c>
      <c r="P35" s="26">
        <f>1272406925/1000000</f>
        <v>1272.406925</v>
      </c>
      <c r="Q35" s="26">
        <v>758.27707199999998</v>
      </c>
      <c r="R35" s="483">
        <f t="shared" ref="R35:R36" si="54">SUM(N35:Q35)</f>
        <v>4787.6322170000003</v>
      </c>
      <c r="S35" s="26">
        <f>1505534771/1000000</f>
        <v>1505.5347710000001</v>
      </c>
      <c r="T35" s="26">
        <f>1060140659/1000000</f>
        <v>1060.1406589999999</v>
      </c>
      <c r="U35" s="31">
        <v>1239.916152</v>
      </c>
      <c r="V35" s="62">
        <f t="shared" si="42"/>
        <v>-8467.406755</v>
      </c>
      <c r="W35" s="647">
        <v>-4661.815173</v>
      </c>
      <c r="X35" s="31">
        <v>1211.1837479999999</v>
      </c>
      <c r="Y35" s="31">
        <v>1213.618964</v>
      </c>
      <c r="Z35" s="31">
        <v>1168.0119159999999</v>
      </c>
      <c r="AA35" s="4">
        <f>AA34*AA54</f>
        <v>1617.3847358989153</v>
      </c>
      <c r="AB35" s="657">
        <f t="shared" ref="AB35:AB36" si="55">SUM(X35:AA35)</f>
        <v>5210.1993638989152</v>
      </c>
      <c r="AC35" s="4">
        <f t="shared" ref="AC35:AK35" si="56">AC34*AC54</f>
        <v>2040.2724628349995</v>
      </c>
      <c r="AD35" s="33">
        <f t="shared" si="56"/>
        <v>1978.498020415153</v>
      </c>
      <c r="AE35" s="33">
        <f t="shared" si="56"/>
        <v>1880.7559180454155</v>
      </c>
      <c r="AF35" s="33">
        <f t="shared" si="56"/>
        <v>1583.7189625614253</v>
      </c>
      <c r="AG35" s="657">
        <f t="shared" si="56"/>
        <v>7483.2453638569932</v>
      </c>
      <c r="AH35" s="4">
        <f t="shared" si="56"/>
        <v>2178.3760746645894</v>
      </c>
      <c r="AI35" s="33">
        <f t="shared" si="56"/>
        <v>2153.7501364153795</v>
      </c>
      <c r="AJ35" s="33">
        <f t="shared" si="56"/>
        <v>2095.2022464572069</v>
      </c>
      <c r="AK35" s="4">
        <f t="shared" si="56"/>
        <v>1733.6758398919642</v>
      </c>
      <c r="AL35" s="657">
        <f t="shared" ref="AL35:AL36" si="57">SUM(AH35:AK35)</f>
        <v>8161.0042974291409</v>
      </c>
      <c r="AM35" s="4">
        <f t="shared" ref="AM35:AQ35" si="58">AM34*AM54</f>
        <v>2414.1385927940637</v>
      </c>
      <c r="AN35" s="33">
        <f t="shared" si="58"/>
        <v>2371.9375878595847</v>
      </c>
      <c r="AO35" s="33">
        <f t="shared" si="58"/>
        <v>2321.8798553450356</v>
      </c>
      <c r="AP35" s="33">
        <f t="shared" si="58"/>
        <v>1907.7334167411609</v>
      </c>
      <c r="AQ35" s="657">
        <f t="shared" si="58"/>
        <v>9015.6894527398435</v>
      </c>
    </row>
    <row r="36" spans="1:56" ht="15.75" customHeight="1">
      <c r="A36" s="22"/>
      <c r="B36" s="53" t="s">
        <v>104</v>
      </c>
      <c r="C36" s="66"/>
      <c r="D36" s="60">
        <v>15.417306</v>
      </c>
      <c r="E36" s="61">
        <v>0.25067800000000001</v>
      </c>
      <c r="F36" s="29">
        <f>-(66788674/1000000)</f>
        <v>-66.788674</v>
      </c>
      <c r="G36" s="29">
        <v>226.43606</v>
      </c>
      <c r="H36" s="483">
        <f t="shared" si="52"/>
        <v>175.31537</v>
      </c>
      <c r="I36" s="26">
        <f>(9275982/1000000)</f>
        <v>9.2759820000000008</v>
      </c>
      <c r="J36" s="29">
        <v>18.414200000000001</v>
      </c>
      <c r="K36" s="26">
        <v>3.4119630000000001</v>
      </c>
      <c r="L36" s="26">
        <v>-19.615791000000002</v>
      </c>
      <c r="M36" s="483">
        <f t="shared" si="53"/>
        <v>11.486353999999999</v>
      </c>
      <c r="N36" s="26">
        <f>21152969/1000000</f>
        <v>21.152968999999999</v>
      </c>
      <c r="O36" s="26">
        <f>-8366505/1000000</f>
        <v>-8.3665050000000001</v>
      </c>
      <c r="P36" s="26">
        <f>(-3854243)/1000000</f>
        <v>-3.8542429999999999</v>
      </c>
      <c r="Q36" s="26">
        <v>136.975573</v>
      </c>
      <c r="R36" s="483">
        <f t="shared" si="54"/>
        <v>145.907794</v>
      </c>
      <c r="S36" s="26">
        <f>44874357/1000000</f>
        <v>44.874357000000003</v>
      </c>
      <c r="T36" s="26">
        <f>-126999229/1000000</f>
        <v>-126.999229</v>
      </c>
      <c r="U36" s="31">
        <v>346.49913900000001</v>
      </c>
      <c r="V36" s="62">
        <f t="shared" si="42"/>
        <v>8.5491529999999898</v>
      </c>
      <c r="W36" s="647">
        <v>272.92342000000002</v>
      </c>
      <c r="X36" s="31">
        <v>39.459091999999998</v>
      </c>
      <c r="Y36" s="31">
        <v>29.440774000000001</v>
      </c>
      <c r="Z36" s="31">
        <v>22.260110999999998</v>
      </c>
      <c r="AA36" s="4">
        <f>AA34*AA59</f>
        <v>156.20324326019244</v>
      </c>
      <c r="AB36" s="657">
        <f t="shared" si="55"/>
        <v>247.36322026019243</v>
      </c>
      <c r="AC36" s="4">
        <f t="shared" ref="AC36:AF36" si="59">AC34*AC59</f>
        <v>36.67910385358924</v>
      </c>
      <c r="AD36" s="33">
        <f t="shared" si="59"/>
        <v>-27.137859001508172</v>
      </c>
      <c r="AE36" s="33">
        <f t="shared" si="59"/>
        <v>90.642073478335078</v>
      </c>
      <c r="AF36" s="33">
        <f t="shared" si="59"/>
        <v>152.95188143795059</v>
      </c>
      <c r="AG36" s="657">
        <f>SUM(AC36:AF36)</f>
        <v>253.13519976836673</v>
      </c>
      <c r="AH36" s="4">
        <f t="shared" ref="AH36:AK36" si="60">AH34*AH59</f>
        <v>39.161868686779535</v>
      </c>
      <c r="AI36" s="33">
        <f t="shared" si="60"/>
        <v>-29.541686129286717</v>
      </c>
      <c r="AJ36" s="33">
        <f t="shared" si="60"/>
        <v>119.96621312469814</v>
      </c>
      <c r="AK36" s="4">
        <f t="shared" si="60"/>
        <v>167.43436669225986</v>
      </c>
      <c r="AL36" s="657">
        <f t="shared" si="57"/>
        <v>297.02076237445078</v>
      </c>
      <c r="AM36" s="4">
        <f t="shared" ref="AM36:AP36" si="61">AM34*AM59</f>
        <v>50.286738904073125</v>
      </c>
      <c r="AN36" s="33">
        <f t="shared" si="61"/>
        <v>-32.534431248106095</v>
      </c>
      <c r="AO36" s="33">
        <f t="shared" si="61"/>
        <v>246.71937311443205</v>
      </c>
      <c r="AP36" s="33">
        <f t="shared" si="61"/>
        <v>184.24444126165037</v>
      </c>
      <c r="AQ36" s="657">
        <f>SUM(AM36:AP36)</f>
        <v>448.71612203204944</v>
      </c>
    </row>
    <row r="37" spans="1:56" ht="15.75" customHeight="1">
      <c r="A37" s="22"/>
      <c r="B37" s="75" t="s">
        <v>105</v>
      </c>
      <c r="C37" s="66"/>
      <c r="D37" s="55">
        <f t="shared" ref="D37:U37" si="62">D34-D35+D36</f>
        <v>3728.2983350000009</v>
      </c>
      <c r="E37" s="26">
        <f t="shared" si="62"/>
        <v>3560.8286499999981</v>
      </c>
      <c r="F37" s="26">
        <f t="shared" si="62"/>
        <v>3511.9605990000005</v>
      </c>
      <c r="G37" s="26">
        <f t="shared" si="62"/>
        <v>3855.6527880000012</v>
      </c>
      <c r="H37" s="483">
        <f t="shared" si="62"/>
        <v>14656.740372</v>
      </c>
      <c r="I37" s="26">
        <f t="shared" si="62"/>
        <v>4575.8886309999989</v>
      </c>
      <c r="J37" s="26">
        <f t="shared" si="62"/>
        <v>4110.3367469999985</v>
      </c>
      <c r="K37" s="26">
        <f t="shared" si="62"/>
        <v>4068.1571350000008</v>
      </c>
      <c r="L37" s="26">
        <f t="shared" si="62"/>
        <v>3391.9895490000017</v>
      </c>
      <c r="M37" s="483">
        <f t="shared" si="62"/>
        <v>16146.372061999999</v>
      </c>
      <c r="N37" s="26">
        <f t="shared" si="62"/>
        <v>5005.5890769999996</v>
      </c>
      <c r="O37" s="26">
        <f t="shared" si="62"/>
        <v>4610.0342660000033</v>
      </c>
      <c r="P37" s="26">
        <f t="shared" si="62"/>
        <v>3833.2155819999984</v>
      </c>
      <c r="Q37" s="26">
        <f t="shared" si="62"/>
        <v>3008.7878519999999</v>
      </c>
      <c r="R37" s="483">
        <f t="shared" si="62"/>
        <v>16457.626777000001</v>
      </c>
      <c r="S37" s="26">
        <f t="shared" si="62"/>
        <v>5640.654461000001</v>
      </c>
      <c r="T37" s="26">
        <f t="shared" si="62"/>
        <v>4592.6873739999992</v>
      </c>
      <c r="U37" s="26">
        <f t="shared" si="62"/>
        <v>4414.6160759999966</v>
      </c>
      <c r="V37" s="62">
        <f t="shared" si="42"/>
        <v>3684.9251750000058</v>
      </c>
      <c r="W37" s="647">
        <v>18332.883086000002</v>
      </c>
      <c r="X37" s="31">
        <f t="shared" ref="X37:AQ37" si="63">X34-X35+X36</f>
        <v>5523.6880570000021</v>
      </c>
      <c r="Y37" s="26">
        <f t="shared" si="63"/>
        <v>5505.8928869999991</v>
      </c>
      <c r="Z37" s="26">
        <f t="shared" si="63"/>
        <v>5340.8846009999997</v>
      </c>
      <c r="AA37" s="26">
        <f t="shared" si="63"/>
        <v>5727.1951113564564</v>
      </c>
      <c r="AB37" s="660">
        <f t="shared" si="63"/>
        <v>22097.660656356453</v>
      </c>
      <c r="AC37" s="26">
        <f t="shared" si="63"/>
        <v>7064.2842536185872</v>
      </c>
      <c r="AD37" s="26">
        <f t="shared" si="63"/>
        <v>6787.6886557617963</v>
      </c>
      <c r="AE37" s="26">
        <f t="shared" si="63"/>
        <v>6568.8013467458768</v>
      </c>
      <c r="AF37" s="26">
        <f t="shared" si="63"/>
        <v>5607.9838635939714</v>
      </c>
      <c r="AG37" s="660">
        <f t="shared" si="63"/>
        <v>26028.758119720231</v>
      </c>
      <c r="AH37" s="26">
        <f t="shared" si="63"/>
        <v>7542.4572369759198</v>
      </c>
      <c r="AI37" s="26">
        <f t="shared" si="63"/>
        <v>7388.9310059681302</v>
      </c>
      <c r="AJ37" s="26">
        <f t="shared" si="63"/>
        <v>7336.7739509217436</v>
      </c>
      <c r="AK37" s="26">
        <f t="shared" si="63"/>
        <v>6138.9844818756919</v>
      </c>
      <c r="AL37" s="660">
        <f t="shared" si="63"/>
        <v>28407.146675741475</v>
      </c>
      <c r="AM37" s="26">
        <f t="shared" si="63"/>
        <v>8365.6530029725145</v>
      </c>
      <c r="AN37" s="26">
        <f t="shared" si="63"/>
        <v>8137.4728158237976</v>
      </c>
      <c r="AO37" s="26">
        <f t="shared" si="63"/>
        <v>8244.3055415251092</v>
      </c>
      <c r="AP37" s="26">
        <f t="shared" si="63"/>
        <v>6755.3262100367601</v>
      </c>
      <c r="AQ37" s="660">
        <f t="shared" si="63"/>
        <v>31502.757570358172</v>
      </c>
    </row>
    <row r="38" spans="1:56" ht="15.75" customHeight="1">
      <c r="A38" s="22"/>
      <c r="B38" s="53" t="s">
        <v>106</v>
      </c>
      <c r="C38" s="66"/>
      <c r="D38" s="60">
        <v>203.66715099999999</v>
      </c>
      <c r="E38" s="61">
        <v>277.302235</v>
      </c>
      <c r="F38" s="26">
        <f>(350102323/1000000)</f>
        <v>350.10232300000001</v>
      </c>
      <c r="G38" s="29">
        <v>460.13999799999999</v>
      </c>
      <c r="H38" s="483">
        <f>SUM(D38:G38)</f>
        <v>1291.2117069999999</v>
      </c>
      <c r="I38" s="26">
        <f>(420757631/1000000)</f>
        <v>420.757631</v>
      </c>
      <c r="J38" s="29">
        <v>534.01687300000003</v>
      </c>
      <c r="K38" s="26">
        <v>501.37678799999998</v>
      </c>
      <c r="L38" s="26">
        <v>554.656296</v>
      </c>
      <c r="M38" s="483">
        <f>SUM(I38:L38)</f>
        <v>2010.8075880000001</v>
      </c>
      <c r="N38" s="26">
        <v>494.70410399999997</v>
      </c>
      <c r="O38" s="26">
        <v>516</v>
      </c>
      <c r="P38" s="26">
        <f>449656818/1000000</f>
        <v>449.65681799999999</v>
      </c>
      <c r="Q38" s="26">
        <v>1062.036619</v>
      </c>
      <c r="R38" s="483">
        <f>SUM(N38:Q38)</f>
        <v>2522.3975409999998</v>
      </c>
      <c r="S38" s="76">
        <v>360</v>
      </c>
      <c r="T38" s="26">
        <f>652559010/1000000</f>
        <v>652.55900999999994</v>
      </c>
      <c r="U38" s="31">
        <v>508.98031600000002</v>
      </c>
      <c r="V38" s="62">
        <f t="shared" si="42"/>
        <v>1073.0235090000001</v>
      </c>
      <c r="W38" s="647">
        <v>2594.5628350000002</v>
      </c>
      <c r="X38" s="31">
        <v>568.96221400000002</v>
      </c>
      <c r="Y38" s="31">
        <v>1097.8598999999999</v>
      </c>
      <c r="Z38" s="31">
        <v>710.73012400000005</v>
      </c>
      <c r="AA38" s="4">
        <f>AVERAGE(V38,X38:Z38)</f>
        <v>862.64393675000008</v>
      </c>
      <c r="AB38" s="657">
        <f>SUM(X38:AA38)</f>
        <v>3240.1961747500004</v>
      </c>
      <c r="AC38" s="4">
        <f>AVERAGE(X38:AA38)</f>
        <v>810.0490436875001</v>
      </c>
      <c r="AD38" s="33">
        <f>AVERAGE(Y38:AA38,AC38)</f>
        <v>870.32075110937512</v>
      </c>
      <c r="AE38" s="33">
        <f>AVERAGE(Z38:AA38,AC38:AD38)</f>
        <v>813.43596388671881</v>
      </c>
      <c r="AF38" s="33">
        <f>AVERAGE(AA38,AC38:AE38)</f>
        <v>839.11242385839864</v>
      </c>
      <c r="AG38" s="657">
        <f>SUM(AC38:AF38)</f>
        <v>3332.9181825419928</v>
      </c>
      <c r="AH38" s="4">
        <f>AVERAGE(AC38:AF38)</f>
        <v>833.2295456354982</v>
      </c>
      <c r="AI38" s="33">
        <f>AVERAGE(AD38:AF38,AH38)</f>
        <v>839.02467112249769</v>
      </c>
      <c r="AJ38" s="33">
        <f>AVERAGE(AE38:AF38,AH38:AI38)</f>
        <v>831.20065112577834</v>
      </c>
      <c r="AK38" s="4">
        <f>AVERAGE(AF38,AH38:AJ38)</f>
        <v>835.64182293554325</v>
      </c>
      <c r="AL38" s="657">
        <f>SUM(AH38:AK38)</f>
        <v>3339.0966908193172</v>
      </c>
      <c r="AM38" s="69">
        <f>AVERAGE(AH38:AK38)</f>
        <v>834.77417270482931</v>
      </c>
      <c r="AN38" s="65">
        <f>AVERAGE(AI38:AK38,AM38)</f>
        <v>835.16032947216206</v>
      </c>
      <c r="AO38" s="65">
        <f>AVERAGE(AJ38:AK38,AM38:AN38)</f>
        <v>834.1942440595783</v>
      </c>
      <c r="AP38" s="65">
        <f>AVERAGE(AK38,AM38:AO38)</f>
        <v>834.94264229302826</v>
      </c>
      <c r="AQ38" s="671">
        <f>SUM(AM38:AP38)</f>
        <v>3339.0713885295982</v>
      </c>
    </row>
    <row r="39" spans="1:56" ht="15.75" customHeight="1">
      <c r="A39" s="77"/>
      <c r="B39" s="775" t="s">
        <v>107</v>
      </c>
      <c r="C39" s="786"/>
      <c r="D39" s="78">
        <f t="shared" ref="D39:U39" si="64">D37+D38</f>
        <v>3931.965486000001</v>
      </c>
      <c r="E39" s="79">
        <f t="shared" si="64"/>
        <v>3838.1308849999982</v>
      </c>
      <c r="F39" s="79">
        <f t="shared" si="64"/>
        <v>3862.0629220000005</v>
      </c>
      <c r="G39" s="79">
        <f t="shared" si="64"/>
        <v>4315.7927860000009</v>
      </c>
      <c r="H39" s="487">
        <f t="shared" si="64"/>
        <v>15947.952079000001</v>
      </c>
      <c r="I39" s="79">
        <f t="shared" si="64"/>
        <v>4996.6462619999993</v>
      </c>
      <c r="J39" s="79">
        <f t="shared" si="64"/>
        <v>4644.353619999998</v>
      </c>
      <c r="K39" s="79">
        <f t="shared" si="64"/>
        <v>4569.5339230000009</v>
      </c>
      <c r="L39" s="79">
        <f t="shared" si="64"/>
        <v>3946.6458450000018</v>
      </c>
      <c r="M39" s="487">
        <f t="shared" si="64"/>
        <v>18157.179649999998</v>
      </c>
      <c r="N39" s="79">
        <f t="shared" si="64"/>
        <v>5500.293181</v>
      </c>
      <c r="O39" s="79">
        <f t="shared" si="64"/>
        <v>5126.0342660000033</v>
      </c>
      <c r="P39" s="79">
        <f t="shared" si="64"/>
        <v>4282.8723999999984</v>
      </c>
      <c r="Q39" s="79">
        <f t="shared" si="64"/>
        <v>4070.8244709999999</v>
      </c>
      <c r="R39" s="487">
        <f t="shared" si="64"/>
        <v>18980.024318</v>
      </c>
      <c r="S39" s="79">
        <f t="shared" si="64"/>
        <v>6000.654461000001</v>
      </c>
      <c r="T39" s="79">
        <f t="shared" si="64"/>
        <v>5245.2463839999991</v>
      </c>
      <c r="U39" s="79">
        <f t="shared" si="64"/>
        <v>4923.5963919999967</v>
      </c>
      <c r="V39" s="79">
        <f t="shared" si="42"/>
        <v>4757.9486840000027</v>
      </c>
      <c r="W39" s="650">
        <v>20927.445920999999</v>
      </c>
      <c r="X39" s="79">
        <f t="shared" ref="X39:AQ39" si="65">X37+X38</f>
        <v>6092.6502710000022</v>
      </c>
      <c r="Y39" s="79">
        <f t="shared" si="65"/>
        <v>6603.7527869999994</v>
      </c>
      <c r="Z39" s="79">
        <f t="shared" si="65"/>
        <v>6051.6147249999995</v>
      </c>
      <c r="AA39" s="79">
        <f t="shared" si="65"/>
        <v>6589.8390481064562</v>
      </c>
      <c r="AB39" s="487">
        <f t="shared" si="65"/>
        <v>25337.856831106452</v>
      </c>
      <c r="AC39" s="79">
        <f t="shared" si="65"/>
        <v>7874.3332973060869</v>
      </c>
      <c r="AD39" s="79">
        <f t="shared" si="65"/>
        <v>7658.0094068711714</v>
      </c>
      <c r="AE39" s="79">
        <f t="shared" si="65"/>
        <v>7382.2373106325958</v>
      </c>
      <c r="AF39" s="79">
        <f t="shared" si="65"/>
        <v>6447.0962874523702</v>
      </c>
      <c r="AG39" s="487">
        <f t="shared" si="65"/>
        <v>29361.676302262225</v>
      </c>
      <c r="AH39" s="79">
        <f t="shared" si="65"/>
        <v>8375.6867826114176</v>
      </c>
      <c r="AI39" s="79">
        <f t="shared" si="65"/>
        <v>8227.9556770906274</v>
      </c>
      <c r="AJ39" s="79">
        <f t="shared" si="65"/>
        <v>8167.9746020475222</v>
      </c>
      <c r="AK39" s="79">
        <f t="shared" si="65"/>
        <v>6974.6263048112351</v>
      </c>
      <c r="AL39" s="487">
        <f t="shared" si="65"/>
        <v>31746.243366560793</v>
      </c>
      <c r="AM39" s="79">
        <f t="shared" si="65"/>
        <v>9200.4271756773433</v>
      </c>
      <c r="AN39" s="79">
        <f t="shared" si="65"/>
        <v>8972.6331452959603</v>
      </c>
      <c r="AO39" s="79">
        <f t="shared" si="65"/>
        <v>9078.4997855846868</v>
      </c>
      <c r="AP39" s="79">
        <f t="shared" si="65"/>
        <v>7590.2688523297884</v>
      </c>
      <c r="AQ39" s="487">
        <f t="shared" si="65"/>
        <v>34841.828958887767</v>
      </c>
      <c r="BD39" s="80">
        <v>1000000</v>
      </c>
    </row>
    <row r="40" spans="1:56" ht="15.75" customHeight="1">
      <c r="A40" s="22"/>
      <c r="B40" s="750" t="s">
        <v>108</v>
      </c>
      <c r="C40" s="736"/>
      <c r="D40" s="74">
        <v>886.45101</v>
      </c>
      <c r="E40" s="61">
        <v>886.45101</v>
      </c>
      <c r="F40" s="26">
        <f t="shared" ref="F40:G40" si="66">(886451010/1000000)</f>
        <v>886.45101</v>
      </c>
      <c r="G40" s="26">
        <f t="shared" si="66"/>
        <v>886.45101</v>
      </c>
      <c r="H40" s="483">
        <f>(D40*D39/H39)+(E40*E39/H39)+(F40*F39/H39)+(G40*G39/H39)</f>
        <v>886.45101</v>
      </c>
      <c r="I40" s="26">
        <f t="shared" ref="I40:K40" si="67">(886451010/1000000)</f>
        <v>886.45101</v>
      </c>
      <c r="J40" s="26">
        <f t="shared" si="67"/>
        <v>886.45101</v>
      </c>
      <c r="K40" s="26">
        <f t="shared" si="67"/>
        <v>886.45101</v>
      </c>
      <c r="L40" s="26">
        <v>886.45101</v>
      </c>
      <c r="M40" s="483">
        <f>(I40*I39/M39)+(J40*J39/M39)+(K40*K39/M39)+(L40*L39/M39)</f>
        <v>886.45101000000011</v>
      </c>
      <c r="N40" s="26">
        <f t="shared" ref="N40:Q40" si="68">(886451010/1000000)</f>
        <v>886.45101</v>
      </c>
      <c r="O40" s="26">
        <f t="shared" si="68"/>
        <v>886.45101</v>
      </c>
      <c r="P40" s="26">
        <f t="shared" si="68"/>
        <v>886.45101</v>
      </c>
      <c r="Q40" s="26">
        <f t="shared" si="68"/>
        <v>886.45101</v>
      </c>
      <c r="R40" s="483">
        <f>(N40*N39/R39)+(O40*O39/R39)+(P40*P39/R39)+(Q40*Q39/R39)</f>
        <v>886.45101000000011</v>
      </c>
      <c r="S40" s="26">
        <f t="shared" ref="S40:T40" si="69">(886451010/1000000)</f>
        <v>886.45101</v>
      </c>
      <c r="T40" s="29">
        <f t="shared" si="69"/>
        <v>886.45101</v>
      </c>
      <c r="U40" s="26">
        <f t="shared" ref="U40:U41" si="70">Z40</f>
        <v>886.45101</v>
      </c>
      <c r="V40" s="26">
        <v>886</v>
      </c>
      <c r="W40" s="648">
        <v>886.45101</v>
      </c>
      <c r="X40" s="26">
        <f>Z40</f>
        <v>886.45101</v>
      </c>
      <c r="Y40" s="31">
        <v>886.45101</v>
      </c>
      <c r="Z40" s="31">
        <v>886.45101</v>
      </c>
      <c r="AA40" s="31">
        <f>Z40*(1+AA65)-AA69</f>
        <v>886.45101</v>
      </c>
      <c r="AB40" s="653">
        <f>(X40*X39/AB39)+(Y40*Y39/AB39)+(Z40*Z39/AB39)+AA40*(AA39/AB39)</f>
        <v>886.45101000000022</v>
      </c>
      <c r="AC40" s="31">
        <f t="shared" ref="AC40:AE40" si="71">AB40*(1+AC65)-AC68</f>
        <v>886.45101000000022</v>
      </c>
      <c r="AD40" s="31">
        <f t="shared" si="71"/>
        <v>886.45101000000022</v>
      </c>
      <c r="AE40" s="31">
        <f t="shared" si="71"/>
        <v>886.45101000000022</v>
      </c>
      <c r="AF40" s="31">
        <f>AD40*(1+AF65)-AF68</f>
        <v>886.45101000000022</v>
      </c>
      <c r="AG40" s="653">
        <f>(AC40*AC39/AG39)+(AD40*AD39/AG39)+(AE40*AE39/AG39)+(AF40*AF39/AG39)</f>
        <v>886.45101000000022</v>
      </c>
      <c r="AH40" s="31">
        <f>AF40*(1+AH65)-AH69</f>
        <v>886.45101000000022</v>
      </c>
      <c r="AI40" s="31">
        <f t="shared" ref="AI40:AK40" si="72">AH40*(1+AI65)-AI69</f>
        <v>886.45101000000022</v>
      </c>
      <c r="AJ40" s="31">
        <f t="shared" si="72"/>
        <v>886.45101000000022</v>
      </c>
      <c r="AK40" s="31">
        <f t="shared" si="72"/>
        <v>886.45101000000022</v>
      </c>
      <c r="AL40" s="653">
        <f>(AH40*AH39/AL39)+(AI40*AI39/AL39)+(AJ40*AJ39/AL39)+(AK40*AK39/AL39)</f>
        <v>886.45101000000045</v>
      </c>
      <c r="AM40" s="31">
        <f>AK40*(1+AM65)-AM69</f>
        <v>886.45101000000022</v>
      </c>
      <c r="AN40" s="31">
        <f t="shared" ref="AN40:AP40" si="73">AM40*(1+AN65)-AN69</f>
        <v>886.45101000000022</v>
      </c>
      <c r="AO40" s="31">
        <f t="shared" si="73"/>
        <v>886.45101000000022</v>
      </c>
      <c r="AP40" s="31">
        <f t="shared" si="73"/>
        <v>886.45101000000022</v>
      </c>
      <c r="AQ40" s="653">
        <f>(AM40*AM39/AQ39)+(AN40*AN39/AQ39)+(AO40*AO39/AQ39)+(AP40*AP39/AQ39)</f>
        <v>886.45101000000057</v>
      </c>
    </row>
    <row r="41" spans="1:56" ht="15.75" customHeight="1">
      <c r="A41" s="22"/>
      <c r="B41" s="738" t="s">
        <v>109</v>
      </c>
      <c r="C41" s="736"/>
      <c r="D41" s="35">
        <f t="shared" ref="D41:G41" si="74">D40</f>
        <v>886.45101</v>
      </c>
      <c r="E41" s="26">
        <f t="shared" si="74"/>
        <v>886.45101</v>
      </c>
      <c r="F41" s="26">
        <f t="shared" si="74"/>
        <v>886.45101</v>
      </c>
      <c r="G41" s="26">
        <f t="shared" si="74"/>
        <v>886.45101</v>
      </c>
      <c r="H41" s="483">
        <f>(D41*D39/H39)+(E41*E39/H39)+(F41*F39/H39)+(G41*G39/H39)</f>
        <v>886.45101</v>
      </c>
      <c r="I41" s="26">
        <f t="shared" ref="I41:L41" si="75">I40</f>
        <v>886.45101</v>
      </c>
      <c r="J41" s="26">
        <f t="shared" si="75"/>
        <v>886.45101</v>
      </c>
      <c r="K41" s="26">
        <f t="shared" si="75"/>
        <v>886.45101</v>
      </c>
      <c r="L41" s="26">
        <f t="shared" si="75"/>
        <v>886.45101</v>
      </c>
      <c r="M41" s="483">
        <f>(I41*I39/M39)+(J41*J39/M39)+(K41*K39/M39)+(L41*L39/M39)</f>
        <v>886.45101000000011</v>
      </c>
      <c r="N41" s="26">
        <f t="shared" ref="N41:Q41" si="76">N40</f>
        <v>886.45101</v>
      </c>
      <c r="O41" s="26">
        <f t="shared" si="76"/>
        <v>886.45101</v>
      </c>
      <c r="P41" s="26">
        <f t="shared" si="76"/>
        <v>886.45101</v>
      </c>
      <c r="Q41" s="26">
        <f t="shared" si="76"/>
        <v>886.45101</v>
      </c>
      <c r="R41" s="483">
        <f>(N41*N39/R39)+(O41*O39/R39)+(P41*P39/R39)+(Q41*Q39/R39)</f>
        <v>886.45101000000011</v>
      </c>
      <c r="S41" s="26">
        <f t="shared" ref="S41:T41" si="77">S40</f>
        <v>886.45101</v>
      </c>
      <c r="T41" s="26">
        <f t="shared" si="77"/>
        <v>886.45101</v>
      </c>
      <c r="U41" s="26">
        <f t="shared" si="70"/>
        <v>886.45101</v>
      </c>
      <c r="V41" s="26">
        <v>886</v>
      </c>
      <c r="W41" s="648">
        <v>886.45101</v>
      </c>
      <c r="X41" s="26">
        <f>Z40</f>
        <v>886.45101</v>
      </c>
      <c r="Y41" s="31">
        <v>886.45101</v>
      </c>
      <c r="Z41" s="31">
        <v>886.45101</v>
      </c>
      <c r="AA41" s="31">
        <f>Z41*(1+AA66)-AA69-AA70</f>
        <v>886.45101</v>
      </c>
      <c r="AB41" s="653">
        <f>X41*(X39/AB39)+Y41*(Y39/AB39)+Z41*(Z39/AB39)+AA41*(AA39/AB39)</f>
        <v>886.45101000000011</v>
      </c>
      <c r="AC41" s="31">
        <f t="shared" ref="AC41:AF41" si="78">AA41*(1+AC66)-AC69-AC70</f>
        <v>886.45101</v>
      </c>
      <c r="AD41" s="31">
        <f t="shared" si="78"/>
        <v>886.45101000000011</v>
      </c>
      <c r="AE41" s="31">
        <f t="shared" si="78"/>
        <v>886.45101</v>
      </c>
      <c r="AF41" s="31">
        <f t="shared" si="78"/>
        <v>886.45101000000011</v>
      </c>
      <c r="AG41" s="653">
        <f>AC41*(AC39/AG39)+AD41*(AD39/AG39)+AE41*(AE39/AG39)+AF41*(AF39/AG39)</f>
        <v>886.45101</v>
      </c>
      <c r="AH41" s="31">
        <f t="shared" ref="AH41:AK41" si="79">AF41*(1+AH66)-AH69-AH70</f>
        <v>886.45101000000011</v>
      </c>
      <c r="AI41" s="31">
        <f t="shared" si="79"/>
        <v>886.45101</v>
      </c>
      <c r="AJ41" s="31">
        <f t="shared" si="79"/>
        <v>886.45101000000011</v>
      </c>
      <c r="AK41" s="31">
        <f t="shared" si="79"/>
        <v>886.45101</v>
      </c>
      <c r="AL41" s="653">
        <f>AH41*(AH39/AL39)+AI41*(AI39/AL39)+AJ41*(AJ39/AL39)+AK41*(AK39/AL39)</f>
        <v>886.45101000000022</v>
      </c>
      <c r="AM41" s="31">
        <v>886.45101</v>
      </c>
      <c r="AN41" s="31">
        <v>886.45101</v>
      </c>
      <c r="AO41" s="31">
        <v>886.45101</v>
      </c>
      <c r="AP41" s="31">
        <v>886.45101</v>
      </c>
      <c r="AQ41" s="653">
        <f>AM41*(AM39/AQ39)+AN41*(AN39/AQ39)+AO41*(AO39/AQ39)+AP41*(AP39/AQ39)</f>
        <v>886.45101000000034</v>
      </c>
    </row>
    <row r="42" spans="1:56" ht="15.75" customHeight="1">
      <c r="A42" s="22"/>
      <c r="B42" s="780" t="s">
        <v>110</v>
      </c>
      <c r="C42" s="769"/>
      <c r="D42" s="70">
        <f t="shared" ref="D42:AQ42" si="80">D39/D40</f>
        <v>4.4356263816541883</v>
      </c>
      <c r="E42" s="62">
        <f t="shared" si="80"/>
        <v>4.3297721382256622</v>
      </c>
      <c r="F42" s="62">
        <f t="shared" si="80"/>
        <v>4.3567697238000784</v>
      </c>
      <c r="G42" s="62">
        <f t="shared" si="80"/>
        <v>4.8686196273835831</v>
      </c>
      <c r="H42" s="485">
        <f t="shared" si="80"/>
        <v>17.990787871063514</v>
      </c>
      <c r="I42" s="62">
        <f t="shared" si="80"/>
        <v>5.6366862980955927</v>
      </c>
      <c r="J42" s="62">
        <f t="shared" si="80"/>
        <v>5.2392671085117248</v>
      </c>
      <c r="K42" s="62">
        <f t="shared" si="80"/>
        <v>5.1548634627874144</v>
      </c>
      <c r="L42" s="62">
        <f t="shared" si="80"/>
        <v>4.4521872054723044</v>
      </c>
      <c r="M42" s="485">
        <f t="shared" si="80"/>
        <v>20.483004074867033</v>
      </c>
      <c r="N42" s="62">
        <f t="shared" si="80"/>
        <v>6.2048473282240382</v>
      </c>
      <c r="O42" s="62">
        <f t="shared" si="80"/>
        <v>5.7826481194939392</v>
      </c>
      <c r="P42" s="62">
        <f t="shared" si="80"/>
        <v>4.8314823398982858</v>
      </c>
      <c r="Q42" s="62">
        <f t="shared" si="80"/>
        <v>4.5922723591910621</v>
      </c>
      <c r="R42" s="485">
        <f t="shared" si="80"/>
        <v>21.411250146807319</v>
      </c>
      <c r="S42" s="62">
        <f t="shared" si="80"/>
        <v>6.7693018489538428</v>
      </c>
      <c r="T42" s="62">
        <f t="shared" si="80"/>
        <v>5.917130585704899</v>
      </c>
      <c r="U42" s="62">
        <f t="shared" si="80"/>
        <v>5.5542791834598919</v>
      </c>
      <c r="V42" s="62">
        <f t="shared" si="80"/>
        <v>5.370145241534992</v>
      </c>
      <c r="W42" s="485">
        <f t="shared" si="80"/>
        <v>23.608124628342406</v>
      </c>
      <c r="X42" s="62">
        <f t="shared" si="80"/>
        <v>6.8730817634242438</v>
      </c>
      <c r="Y42" s="62">
        <f t="shared" si="80"/>
        <v>7.4496534072424367</v>
      </c>
      <c r="Z42" s="62">
        <f t="shared" si="80"/>
        <v>6.8267898132351377</v>
      </c>
      <c r="AA42" s="62">
        <f t="shared" si="80"/>
        <v>7.4339574029098978</v>
      </c>
      <c r="AB42" s="661">
        <f t="shared" si="80"/>
        <v>28.583482386811703</v>
      </c>
      <c r="AC42" s="62">
        <f t="shared" si="80"/>
        <v>8.8829875633015352</v>
      </c>
      <c r="AD42" s="62">
        <f t="shared" si="80"/>
        <v>8.6389538964721471</v>
      </c>
      <c r="AE42" s="62">
        <f t="shared" si="80"/>
        <v>8.3278570697692516</v>
      </c>
      <c r="AF42" s="62">
        <f t="shared" si="80"/>
        <v>7.2729301616480404</v>
      </c>
      <c r="AG42" s="661">
        <f t="shared" si="80"/>
        <v>33.122728691190972</v>
      </c>
      <c r="AH42" s="62">
        <f t="shared" si="80"/>
        <v>9.4485613848095404</v>
      </c>
      <c r="AI42" s="62">
        <f t="shared" si="80"/>
        <v>9.2819068220031991</v>
      </c>
      <c r="AJ42" s="62">
        <f t="shared" si="80"/>
        <v>9.2142425355773696</v>
      </c>
      <c r="AK42" s="62">
        <f t="shared" si="80"/>
        <v>7.8680335699670909</v>
      </c>
      <c r="AL42" s="661">
        <f t="shared" si="80"/>
        <v>35.812744312357182</v>
      </c>
      <c r="AM42" s="62">
        <f t="shared" si="80"/>
        <v>10.378946012681897</v>
      </c>
      <c r="AN42" s="62">
        <f t="shared" si="80"/>
        <v>10.121972950649532</v>
      </c>
      <c r="AO42" s="62">
        <f t="shared" si="80"/>
        <v>10.241400464516008</v>
      </c>
      <c r="AP42" s="62">
        <f t="shared" si="80"/>
        <v>8.5625361883560682</v>
      </c>
      <c r="AQ42" s="661">
        <f t="shared" si="80"/>
        <v>39.304855616203476</v>
      </c>
    </row>
    <row r="43" spans="1:56" ht="15.75" customHeight="1">
      <c r="A43" s="22"/>
      <c r="B43" s="744" t="s">
        <v>111</v>
      </c>
      <c r="C43" s="736"/>
      <c r="D43" s="35">
        <f t="shared" ref="D43:AQ43" si="81">D39/D41</f>
        <v>4.4356263816541883</v>
      </c>
      <c r="E43" s="26">
        <f t="shared" si="81"/>
        <v>4.3297721382256622</v>
      </c>
      <c r="F43" s="26">
        <f t="shared" si="81"/>
        <v>4.3567697238000784</v>
      </c>
      <c r="G43" s="26">
        <f t="shared" si="81"/>
        <v>4.8686196273835831</v>
      </c>
      <c r="H43" s="483">
        <f t="shared" si="81"/>
        <v>17.990787871063514</v>
      </c>
      <c r="I43" s="26">
        <f t="shared" si="81"/>
        <v>5.6366862980955927</v>
      </c>
      <c r="J43" s="26">
        <f t="shared" si="81"/>
        <v>5.2392671085117248</v>
      </c>
      <c r="K43" s="26">
        <f t="shared" si="81"/>
        <v>5.1548634627874144</v>
      </c>
      <c r="L43" s="26">
        <f t="shared" si="81"/>
        <v>4.4521872054723044</v>
      </c>
      <c r="M43" s="483">
        <f t="shared" si="81"/>
        <v>20.483004074867033</v>
      </c>
      <c r="N43" s="26">
        <f t="shared" si="81"/>
        <v>6.2048473282240382</v>
      </c>
      <c r="O43" s="26">
        <f t="shared" si="81"/>
        <v>5.7826481194939392</v>
      </c>
      <c r="P43" s="26">
        <f t="shared" si="81"/>
        <v>4.8314823398982858</v>
      </c>
      <c r="Q43" s="26">
        <f t="shared" si="81"/>
        <v>4.5922723591910621</v>
      </c>
      <c r="R43" s="483">
        <f t="shared" si="81"/>
        <v>21.411250146807319</v>
      </c>
      <c r="S43" s="26">
        <f t="shared" si="81"/>
        <v>6.7693018489538428</v>
      </c>
      <c r="T43" s="26">
        <f t="shared" si="81"/>
        <v>5.917130585704899</v>
      </c>
      <c r="U43" s="26">
        <f t="shared" si="81"/>
        <v>5.5542791834598919</v>
      </c>
      <c r="V43" s="26">
        <f t="shared" si="81"/>
        <v>5.370145241534992</v>
      </c>
      <c r="W43" s="483">
        <f t="shared" si="81"/>
        <v>23.608124628342406</v>
      </c>
      <c r="X43" s="62">
        <f t="shared" si="81"/>
        <v>6.8730817634242438</v>
      </c>
      <c r="Y43" s="62">
        <f t="shared" si="81"/>
        <v>7.4496534072424367</v>
      </c>
      <c r="Z43" s="62">
        <f t="shared" si="81"/>
        <v>6.8267898132351377</v>
      </c>
      <c r="AA43" s="62">
        <f t="shared" si="81"/>
        <v>7.4339574029098978</v>
      </c>
      <c r="AB43" s="661">
        <f t="shared" si="81"/>
        <v>28.583482386811706</v>
      </c>
      <c r="AC43" s="62">
        <f t="shared" si="81"/>
        <v>8.8829875633015369</v>
      </c>
      <c r="AD43" s="62">
        <f t="shared" si="81"/>
        <v>8.6389538964721471</v>
      </c>
      <c r="AE43" s="62">
        <f t="shared" si="81"/>
        <v>8.3278570697692533</v>
      </c>
      <c r="AF43" s="62">
        <f t="shared" si="81"/>
        <v>7.2729301616480413</v>
      </c>
      <c r="AG43" s="661">
        <f t="shared" si="81"/>
        <v>33.122728691190986</v>
      </c>
      <c r="AH43" s="62">
        <f t="shared" si="81"/>
        <v>9.4485613848095404</v>
      </c>
      <c r="AI43" s="62">
        <f t="shared" si="81"/>
        <v>9.2819068220032008</v>
      </c>
      <c r="AJ43" s="62">
        <f t="shared" si="81"/>
        <v>9.2142425355773714</v>
      </c>
      <c r="AK43" s="62">
        <f t="shared" si="81"/>
        <v>7.8680335699670927</v>
      </c>
      <c r="AL43" s="661">
        <f t="shared" si="81"/>
        <v>35.812744312357189</v>
      </c>
      <c r="AM43" s="62">
        <f t="shared" si="81"/>
        <v>10.378946012681901</v>
      </c>
      <c r="AN43" s="62">
        <f t="shared" si="81"/>
        <v>10.121972950649536</v>
      </c>
      <c r="AO43" s="62">
        <f t="shared" si="81"/>
        <v>10.24140046451601</v>
      </c>
      <c r="AP43" s="62">
        <f t="shared" si="81"/>
        <v>8.56253618835607</v>
      </c>
      <c r="AQ43" s="661">
        <f t="shared" si="81"/>
        <v>39.30485561620349</v>
      </c>
    </row>
    <row r="44" spans="1:56" ht="15.75" customHeight="1">
      <c r="A44" s="22"/>
      <c r="B44" s="745" t="s">
        <v>112</v>
      </c>
      <c r="C44" s="754"/>
      <c r="D44" s="82">
        <f t="shared" ref="D44:G44" si="82">D42*33%</f>
        <v>1.4637567059458823</v>
      </c>
      <c r="E44" s="82">
        <f t="shared" si="82"/>
        <v>1.4288248056144686</v>
      </c>
      <c r="F44" s="82">
        <f t="shared" si="82"/>
        <v>1.437734008854026</v>
      </c>
      <c r="G44" s="82">
        <f t="shared" si="82"/>
        <v>1.6066444770365824</v>
      </c>
      <c r="H44" s="488">
        <f>5318.70606/H40</f>
        <v>6.0000000000000009</v>
      </c>
      <c r="I44" s="82">
        <f t="shared" ref="I44:L44" si="83">I42*49%</f>
        <v>2.7619762860668402</v>
      </c>
      <c r="J44" s="82">
        <f t="shared" si="83"/>
        <v>2.5672408831707449</v>
      </c>
      <c r="K44" s="82">
        <f t="shared" si="83"/>
        <v>2.525883096765833</v>
      </c>
      <c r="L44" s="82">
        <f t="shared" si="83"/>
        <v>2.1815717306814291</v>
      </c>
      <c r="M44" s="488">
        <f>(8864.5101/M40)</f>
        <v>9.9999999999999982</v>
      </c>
      <c r="N44" s="82">
        <f t="shared" ref="N44:Q44" si="84">N42*49%</f>
        <v>3.0403751908297787</v>
      </c>
      <c r="O44" s="82">
        <f t="shared" si="84"/>
        <v>2.8334975785520302</v>
      </c>
      <c r="P44" s="82">
        <f t="shared" si="84"/>
        <v>2.3674263465501602</v>
      </c>
      <c r="Q44" s="82">
        <f t="shared" si="84"/>
        <v>2.2502134560036202</v>
      </c>
      <c r="R44" s="641">
        <f>(9307.735605/R40)</f>
        <v>10.499999999999998</v>
      </c>
      <c r="S44" s="82">
        <f>S42*0.466</f>
        <v>3.1544946616124907</v>
      </c>
      <c r="T44" s="82">
        <f>T42*0.466</f>
        <v>2.7573828529384832</v>
      </c>
      <c r="U44" s="83">
        <f>U42*0.466</f>
        <v>2.5882940994923098</v>
      </c>
      <c r="V44" s="83">
        <f>V42*0.466</f>
        <v>2.5024876825553064</v>
      </c>
      <c r="W44" s="488">
        <f>W42*0.466</f>
        <v>11.001386076807561</v>
      </c>
      <c r="X44" s="84">
        <f>X42*0.46</f>
        <v>3.1616176111751524</v>
      </c>
      <c r="Y44" s="84">
        <f>Y42*0.46</f>
        <v>3.4268405673315212</v>
      </c>
      <c r="Z44" s="84">
        <f>Z42*0.46</f>
        <v>3.1403233140881635</v>
      </c>
      <c r="AA44" s="84">
        <f>AA42*0.42</f>
        <v>3.1222621092221567</v>
      </c>
      <c r="AB44" s="84">
        <f t="shared" ref="AB44:AQ44" si="85">AB42*0.42</f>
        <v>12.005062602460915</v>
      </c>
      <c r="AC44" s="84">
        <f t="shared" si="85"/>
        <v>3.7308547765866447</v>
      </c>
      <c r="AD44" s="84">
        <f t="shared" si="85"/>
        <v>3.6283606365183014</v>
      </c>
      <c r="AE44" s="84">
        <f t="shared" si="85"/>
        <v>3.4976999693030857</v>
      </c>
      <c r="AF44" s="84">
        <f t="shared" si="85"/>
        <v>3.0546306678921771</v>
      </c>
      <c r="AG44" s="730">
        <f t="shared" si="85"/>
        <v>13.911546050300208</v>
      </c>
      <c r="AH44" s="84">
        <f t="shared" si="85"/>
        <v>3.9683957816200071</v>
      </c>
      <c r="AI44" s="84">
        <f t="shared" si="85"/>
        <v>3.8984008652413435</v>
      </c>
      <c r="AJ44" s="84">
        <f t="shared" si="85"/>
        <v>3.8699818649424951</v>
      </c>
      <c r="AK44" s="84">
        <f t="shared" si="85"/>
        <v>3.3045740993861781</v>
      </c>
      <c r="AL44" s="84">
        <f t="shared" si="85"/>
        <v>15.041352611190016</v>
      </c>
      <c r="AM44" s="84">
        <f t="shared" si="85"/>
        <v>4.3591573253263967</v>
      </c>
      <c r="AN44" s="84">
        <f t="shared" si="85"/>
        <v>4.2512286392728029</v>
      </c>
      <c r="AO44" s="84">
        <f t="shared" si="85"/>
        <v>4.301388195096723</v>
      </c>
      <c r="AP44" s="84">
        <f t="shared" si="85"/>
        <v>3.5962651991095487</v>
      </c>
      <c r="AQ44" s="84">
        <f t="shared" si="85"/>
        <v>16.508039358805458</v>
      </c>
    </row>
    <row r="45" spans="1:56" ht="15.75" customHeight="1">
      <c r="A45" s="85"/>
      <c r="B45" s="86" t="s">
        <v>113</v>
      </c>
      <c r="C45" s="87"/>
      <c r="D45" s="88"/>
      <c r="E45" s="89"/>
      <c r="F45" s="88"/>
      <c r="G45" s="89"/>
      <c r="H45" s="489"/>
      <c r="I45" s="90">
        <f t="shared" ref="I45:AQ45" si="86">I44/D44-1</f>
        <v>0.88690939884169206</v>
      </c>
      <c r="J45" s="91">
        <f t="shared" si="86"/>
        <v>0.79674993958877871</v>
      </c>
      <c r="K45" s="90">
        <f t="shared" si="86"/>
        <v>0.75685007185657205</v>
      </c>
      <c r="L45" s="91">
        <f t="shared" si="86"/>
        <v>0.3578434817796694</v>
      </c>
      <c r="M45" s="640">
        <f t="shared" si="86"/>
        <v>0.66666666666666607</v>
      </c>
      <c r="N45" s="91">
        <f t="shared" si="86"/>
        <v>0.10079699314123691</v>
      </c>
      <c r="O45" s="90">
        <f t="shared" si="86"/>
        <v>0.10371317203878316</v>
      </c>
      <c r="P45" s="91">
        <f t="shared" si="86"/>
        <v>-6.2733208206889102E-2</v>
      </c>
      <c r="Q45" s="90">
        <f t="shared" si="86"/>
        <v>3.1464344883471052E-2</v>
      </c>
      <c r="R45" s="642">
        <f t="shared" si="86"/>
        <v>5.0000000000000044E-2</v>
      </c>
      <c r="S45" s="90">
        <f t="shared" si="86"/>
        <v>3.7534667144671241E-2</v>
      </c>
      <c r="T45" s="91">
        <f t="shared" si="86"/>
        <v>-2.6862463617294829E-2</v>
      </c>
      <c r="U45" s="89">
        <f t="shared" si="86"/>
        <v>9.3294455924257447E-2</v>
      </c>
      <c r="V45" s="89">
        <f t="shared" si="86"/>
        <v>0.11211124254839588</v>
      </c>
      <c r="W45" s="651">
        <f t="shared" si="86"/>
        <v>4.7751054934053627E-2</v>
      </c>
      <c r="X45" s="88">
        <f t="shared" si="86"/>
        <v>2.2580318963103529E-3</v>
      </c>
      <c r="Y45" s="88">
        <f t="shared" si="86"/>
        <v>0.24278736399612089</v>
      </c>
      <c r="Z45" s="88">
        <f t="shared" si="86"/>
        <v>0.21327916897238741</v>
      </c>
      <c r="AA45" s="92">
        <f t="shared" si="86"/>
        <v>0.24766332757090526</v>
      </c>
      <c r="AB45" s="662">
        <f t="shared" si="86"/>
        <v>9.1231824667006522E-2</v>
      </c>
      <c r="AC45" s="92">
        <f t="shared" si="86"/>
        <v>0.18004617743760298</v>
      </c>
      <c r="AD45" s="92">
        <f t="shared" si="86"/>
        <v>5.880637433439273E-2</v>
      </c>
      <c r="AE45" s="92">
        <f t="shared" si="86"/>
        <v>0.11380250358670208</v>
      </c>
      <c r="AF45" s="92">
        <f t="shared" si="86"/>
        <v>-2.1661039004450711E-2</v>
      </c>
      <c r="AG45" s="662">
        <f t="shared" si="86"/>
        <v>0.15880662275334423</v>
      </c>
      <c r="AH45" s="92">
        <f t="shared" si="86"/>
        <v>6.3669324928988136E-2</v>
      </c>
      <c r="AI45" s="92">
        <f t="shared" si="86"/>
        <v>7.4424858985948861E-2</v>
      </c>
      <c r="AJ45" s="92">
        <f t="shared" si="86"/>
        <v>0.10643620061945636</v>
      </c>
      <c r="AK45" s="92">
        <f t="shared" si="86"/>
        <v>8.1824435969037213E-2</v>
      </c>
      <c r="AL45" s="662">
        <f t="shared" si="86"/>
        <v>8.1213587390269071E-2</v>
      </c>
      <c r="AM45" s="92">
        <f t="shared" si="86"/>
        <v>9.8468390052282029E-2</v>
      </c>
      <c r="AN45" s="92">
        <f t="shared" si="86"/>
        <v>9.0505770501263294E-2</v>
      </c>
      <c r="AO45" s="92">
        <f t="shared" si="86"/>
        <v>0.11147502629463579</v>
      </c>
      <c r="AP45" s="92">
        <f t="shared" si="86"/>
        <v>8.8268893645796043E-2</v>
      </c>
      <c r="AQ45" s="662">
        <f t="shared" si="86"/>
        <v>9.7510296150114861E-2</v>
      </c>
      <c r="BB45" s="80" t="e">
        <f t="array" ref="BB45">#REF!/1000000</f>
        <v>#REF!</v>
      </c>
      <c r="BC45" s="80" t="e">
        <f t="shared" ref="BC45:BC46" si="87">$BD$39-BB45</f>
        <v>#REF!</v>
      </c>
    </row>
    <row r="46" spans="1:56" ht="15.75" customHeight="1">
      <c r="B46" s="93"/>
      <c r="C46" s="94"/>
      <c r="D46" s="95"/>
      <c r="E46" s="95"/>
      <c r="F46" s="96"/>
      <c r="G46" s="97"/>
      <c r="H46" s="98"/>
      <c r="I46" s="99"/>
      <c r="J46" s="100"/>
      <c r="K46" s="97"/>
      <c r="L46" s="97"/>
      <c r="M46" s="99"/>
      <c r="N46" s="98"/>
      <c r="O46" s="99"/>
      <c r="P46" s="98"/>
      <c r="Q46" s="99"/>
      <c r="R46" s="98"/>
      <c r="S46" s="99"/>
      <c r="T46" s="98"/>
      <c r="U46" s="101"/>
      <c r="V46" s="97"/>
      <c r="W46" s="98"/>
      <c r="X46" s="98"/>
      <c r="Y46" s="98"/>
      <c r="Z46" s="97"/>
      <c r="AA46" s="97"/>
      <c r="AB46" s="102"/>
      <c r="AC46" s="102"/>
      <c r="AD46" s="102"/>
      <c r="AE46" s="103"/>
      <c r="AF46" s="103"/>
      <c r="AG46" s="102"/>
      <c r="AH46" s="102"/>
      <c r="AI46" s="102"/>
      <c r="AJ46" s="103"/>
      <c r="AK46" s="103"/>
      <c r="AL46" s="102"/>
      <c r="BC46" s="80">
        <f t="shared" si="87"/>
        <v>1000000</v>
      </c>
    </row>
    <row r="47" spans="1:56" ht="15.75" customHeight="1">
      <c r="A47" s="16"/>
      <c r="B47" s="781" t="s">
        <v>8</v>
      </c>
      <c r="C47" s="782"/>
      <c r="D47" s="468" t="s">
        <v>9</v>
      </c>
      <c r="E47" s="468" t="s">
        <v>10</v>
      </c>
      <c r="F47" s="469" t="s">
        <v>11</v>
      </c>
      <c r="G47" s="468" t="s">
        <v>12</v>
      </c>
      <c r="H47" s="490" t="s">
        <v>12</v>
      </c>
      <c r="I47" s="468" t="s">
        <v>13</v>
      </c>
      <c r="J47" s="491" t="s">
        <v>14</v>
      </c>
      <c r="K47" s="468" t="s">
        <v>15</v>
      </c>
      <c r="L47" s="490" t="s">
        <v>16</v>
      </c>
      <c r="M47" s="468" t="s">
        <v>16</v>
      </c>
      <c r="N47" s="492" t="s">
        <v>17</v>
      </c>
      <c r="O47" s="468" t="s">
        <v>18</v>
      </c>
      <c r="P47" s="492" t="s">
        <v>19</v>
      </c>
      <c r="Q47" s="468" t="s">
        <v>20</v>
      </c>
      <c r="R47" s="492" t="s">
        <v>20</v>
      </c>
      <c r="S47" s="468" t="s">
        <v>21</v>
      </c>
      <c r="T47" s="492" t="s">
        <v>22</v>
      </c>
      <c r="U47" s="471" t="s">
        <v>23</v>
      </c>
      <c r="V47" s="493" t="s">
        <v>24</v>
      </c>
      <c r="W47" s="471" t="s">
        <v>24</v>
      </c>
      <c r="X47" s="471" t="s">
        <v>25</v>
      </c>
      <c r="Y47" s="471" t="s">
        <v>26</v>
      </c>
      <c r="Z47" s="471" t="s">
        <v>27</v>
      </c>
      <c r="AA47" s="476" t="s">
        <v>24</v>
      </c>
      <c r="AB47" s="494" t="s">
        <v>24</v>
      </c>
      <c r="AC47" s="495" t="s">
        <v>29</v>
      </c>
      <c r="AD47" s="494" t="s">
        <v>30</v>
      </c>
      <c r="AE47" s="496" t="s">
        <v>31</v>
      </c>
      <c r="AF47" s="494" t="s">
        <v>32</v>
      </c>
      <c r="AG47" s="494" t="s">
        <v>32</v>
      </c>
      <c r="AH47" s="494" t="s">
        <v>33</v>
      </c>
      <c r="AI47" s="494" t="s">
        <v>34</v>
      </c>
      <c r="AJ47" s="494" t="s">
        <v>35</v>
      </c>
      <c r="AK47" s="494" t="s">
        <v>36</v>
      </c>
      <c r="AL47" s="494" t="s">
        <v>36</v>
      </c>
      <c r="AM47" s="494" t="s">
        <v>37</v>
      </c>
      <c r="AN47" s="494" t="s">
        <v>38</v>
      </c>
      <c r="AO47" s="494" t="s">
        <v>39</v>
      </c>
      <c r="AP47" s="494" t="s">
        <v>40</v>
      </c>
      <c r="AQ47" s="494" t="s">
        <v>40</v>
      </c>
      <c r="AR47" s="6"/>
      <c r="AS47" s="6"/>
      <c r="AT47" s="6"/>
      <c r="AU47" s="6"/>
      <c r="AV47" s="6"/>
      <c r="AW47" s="6"/>
      <c r="AX47" s="6"/>
      <c r="AY47" s="6"/>
    </row>
    <row r="48" spans="1:56" ht="19.5" customHeight="1">
      <c r="A48" s="22"/>
      <c r="B48" s="783" t="s">
        <v>41</v>
      </c>
      <c r="C48" s="784"/>
      <c r="D48" s="472" t="s">
        <v>42</v>
      </c>
      <c r="E48" s="472" t="s">
        <v>43</v>
      </c>
      <c r="F48" s="472" t="s">
        <v>44</v>
      </c>
      <c r="G48" s="472" t="s">
        <v>45</v>
      </c>
      <c r="H48" s="472" t="s">
        <v>46</v>
      </c>
      <c r="I48" s="472" t="s">
        <v>47</v>
      </c>
      <c r="J48" s="473" t="s">
        <v>48</v>
      </c>
      <c r="K48" s="472" t="s">
        <v>49</v>
      </c>
      <c r="L48" s="472" t="s">
        <v>50</v>
      </c>
      <c r="M48" s="472" t="s">
        <v>51</v>
      </c>
      <c r="N48" s="472" t="s">
        <v>52</v>
      </c>
      <c r="O48" s="472" t="s">
        <v>53</v>
      </c>
      <c r="P48" s="472" t="s">
        <v>54</v>
      </c>
      <c r="Q48" s="472" t="s">
        <v>55</v>
      </c>
      <c r="R48" s="472" t="s">
        <v>56</v>
      </c>
      <c r="S48" s="472" t="s">
        <v>57</v>
      </c>
      <c r="T48" s="472" t="s">
        <v>58</v>
      </c>
      <c r="U48" s="474" t="s">
        <v>59</v>
      </c>
      <c r="V48" s="474" t="s">
        <v>60</v>
      </c>
      <c r="W48" s="474" t="s">
        <v>61</v>
      </c>
      <c r="X48" s="474" t="s">
        <v>62</v>
      </c>
      <c r="Y48" s="474" t="s">
        <v>63</v>
      </c>
      <c r="Z48" s="474" t="s">
        <v>64</v>
      </c>
      <c r="AA48" s="477" t="s">
        <v>65</v>
      </c>
      <c r="AB48" s="478" t="s">
        <v>66</v>
      </c>
      <c r="AC48" s="497" t="s">
        <v>67</v>
      </c>
      <c r="AD48" s="498" t="s">
        <v>68</v>
      </c>
      <c r="AE48" s="499" t="s">
        <v>69</v>
      </c>
      <c r="AF48" s="479" t="s">
        <v>70</v>
      </c>
      <c r="AG48" s="480" t="s">
        <v>71</v>
      </c>
      <c r="AH48" s="479" t="s">
        <v>72</v>
      </c>
      <c r="AI48" s="480" t="s">
        <v>73</v>
      </c>
      <c r="AJ48" s="480" t="s">
        <v>74</v>
      </c>
      <c r="AK48" s="479" t="s">
        <v>75</v>
      </c>
      <c r="AL48" s="480" t="s">
        <v>76</v>
      </c>
      <c r="AM48" s="479" t="s">
        <v>77</v>
      </c>
      <c r="AN48" s="480" t="s">
        <v>78</v>
      </c>
      <c r="AO48" s="481" t="s">
        <v>79</v>
      </c>
      <c r="AP48" s="480" t="s">
        <v>80</v>
      </c>
      <c r="AQ48" s="480" t="s">
        <v>81</v>
      </c>
      <c r="AR48" s="6"/>
      <c r="AS48" s="6"/>
      <c r="AT48" s="6"/>
      <c r="AU48" s="6"/>
      <c r="AV48" s="6"/>
      <c r="AW48" s="6"/>
      <c r="AX48" s="6"/>
      <c r="AY48" s="6"/>
    </row>
    <row r="49" spans="2:43" ht="15.75" customHeight="1" outlineLevel="1">
      <c r="B49" s="738" t="s">
        <v>114</v>
      </c>
      <c r="C49" s="736"/>
      <c r="D49" s="104"/>
      <c r="E49" s="105"/>
      <c r="F49" s="106"/>
      <c r="G49" s="105"/>
      <c r="H49" s="697"/>
      <c r="I49" s="105"/>
      <c r="J49" s="106"/>
      <c r="K49" s="105"/>
      <c r="L49" s="106"/>
      <c r="M49" s="711">
        <f>M17/H17-1</f>
        <v>0.13598620449927457</v>
      </c>
      <c r="N49" s="106"/>
      <c r="O49" s="105"/>
      <c r="P49" s="106"/>
      <c r="Q49" s="105"/>
      <c r="R49" s="709">
        <f>R17/M17-1</f>
        <v>8.9408429945479817E-2</v>
      </c>
      <c r="S49" s="105"/>
      <c r="T49" s="106"/>
      <c r="U49" s="105"/>
      <c r="V49" s="107"/>
      <c r="W49" s="709">
        <f>W17/R17-1</f>
        <v>0.11718916135816082</v>
      </c>
      <c r="X49" s="105"/>
      <c r="Y49" s="106"/>
      <c r="Z49" s="105"/>
      <c r="AA49" s="107"/>
      <c r="AB49" s="706">
        <f>AB17/W17-1</f>
        <v>9.2115919516755795E-2</v>
      </c>
      <c r="AC49" s="109"/>
      <c r="AD49" s="109"/>
      <c r="AE49" s="110"/>
      <c r="AF49" s="110"/>
      <c r="AG49" s="706">
        <f>AG17/AB17-1</f>
        <v>0.13669290790066668</v>
      </c>
      <c r="AH49" s="108"/>
      <c r="AI49" s="108"/>
      <c r="AJ49" s="108"/>
      <c r="AK49" s="108"/>
      <c r="AL49" s="706">
        <f>AL17/AG17-1</f>
        <v>0.13669290790066668</v>
      </c>
      <c r="AM49" s="111"/>
      <c r="AN49" s="111"/>
      <c r="AO49" s="111"/>
      <c r="AP49" s="111"/>
      <c r="AQ49" s="702">
        <f>AQ17/AL17-1</f>
        <v>0.13669290790066668</v>
      </c>
    </row>
    <row r="50" spans="2:43" ht="15.75" customHeight="1" outlineLevel="1">
      <c r="B50" s="738" t="s">
        <v>115</v>
      </c>
      <c r="C50" s="736"/>
      <c r="D50" s="112"/>
      <c r="E50" s="113">
        <f t="shared" ref="E50:G50" si="88">E17/D17-1</f>
        <v>-1.6660964504575548E-2</v>
      </c>
      <c r="F50" s="112">
        <f t="shared" si="88"/>
        <v>3.267598824159812E-2</v>
      </c>
      <c r="G50" s="113">
        <f t="shared" si="88"/>
        <v>1.7315659467694866E-2</v>
      </c>
      <c r="H50" s="698"/>
      <c r="I50" s="113">
        <f>I17/G17-1</f>
        <v>0.14514417798371859</v>
      </c>
      <c r="J50" s="112">
        <f t="shared" ref="J50:L50" si="89">J17/I17-1</f>
        <v>-4.5808348163900892E-2</v>
      </c>
      <c r="K50" s="113">
        <f t="shared" si="89"/>
        <v>3.2026261077540807E-2</v>
      </c>
      <c r="L50" s="112">
        <f t="shared" si="89"/>
        <v>-5.2853203964624229E-2</v>
      </c>
      <c r="M50" s="712"/>
      <c r="N50" s="112">
        <f>N17/L17-1</f>
        <v>0.15811281354288553</v>
      </c>
      <c r="O50" s="113">
        <f t="shared" ref="O50:Q50" si="90">O17/N17-1</f>
        <v>7.3088565478474088E-3</v>
      </c>
      <c r="P50" s="112">
        <f t="shared" si="90"/>
        <v>-1.8515776796975025E-2</v>
      </c>
      <c r="Q50" s="113">
        <f t="shared" si="90"/>
        <v>-8.0803183206009987E-2</v>
      </c>
      <c r="R50" s="698"/>
      <c r="S50" s="113">
        <f>S17/Q17-1</f>
        <v>0.26401590061243474</v>
      </c>
      <c r="T50" s="112">
        <f t="shared" ref="T50:V50" si="91">T17/S17-1</f>
        <v>3.2369502858087262E-3</v>
      </c>
      <c r="U50" s="113">
        <f t="shared" si="91"/>
        <v>-6.9653059177912202E-2</v>
      </c>
      <c r="V50" s="114">
        <f t="shared" si="91"/>
        <v>-7.7497999799072126E-2</v>
      </c>
      <c r="W50" s="698"/>
      <c r="X50" s="113">
        <f>X17/V17-1</f>
        <v>0.11658958485824589</v>
      </c>
      <c r="Y50" s="112">
        <f t="shared" ref="Y50:Z50" si="92">Y17/X17-1</f>
        <v>0.12531794850529887</v>
      </c>
      <c r="Z50" s="113">
        <f t="shared" si="92"/>
        <v>7.9026696983330869E-3</v>
      </c>
      <c r="AA50" s="115">
        <f>AA17/Y17-1</f>
        <v>-6.3038353750094034E-2</v>
      </c>
      <c r="AB50" s="707"/>
      <c r="AC50" s="113">
        <f>AC17/AA17-1</f>
        <v>0.17373826536813608</v>
      </c>
      <c r="AD50" s="113">
        <f t="shared" ref="AD50:AF50" si="93">AD17/AC17-1</f>
        <v>9.0771927545425513E-3</v>
      </c>
      <c r="AE50" s="48">
        <f t="shared" si="93"/>
        <v>-4.1254725463911734E-3</v>
      </c>
      <c r="AF50" s="48">
        <f t="shared" si="93"/>
        <v>-5.7061478746988525E-2</v>
      </c>
      <c r="AG50" s="699"/>
      <c r="AH50" s="113">
        <f>AH17/AF17-1</f>
        <v>0.19958425781128653</v>
      </c>
      <c r="AI50" s="113">
        <f t="shared" ref="AI50:AK50" si="94">AI17/AH17-1</f>
        <v>9.0771927545425513E-3</v>
      </c>
      <c r="AJ50" s="113">
        <f t="shared" si="94"/>
        <v>-4.1254725463910624E-3</v>
      </c>
      <c r="AK50" s="113">
        <f t="shared" si="94"/>
        <v>-5.7061478746988636E-2</v>
      </c>
      <c r="AL50" s="699"/>
      <c r="AM50" s="113">
        <f>AM17/AK17-1</f>
        <v>0.19958425781128653</v>
      </c>
      <c r="AN50" s="113">
        <f t="shared" ref="AN50:AP50" si="95">AN17/AM17-1</f>
        <v>9.0771927545423292E-3</v>
      </c>
      <c r="AO50" s="113">
        <f t="shared" si="95"/>
        <v>-4.1254725463911734E-3</v>
      </c>
      <c r="AP50" s="113">
        <f t="shared" si="95"/>
        <v>-5.7061478746988525E-2</v>
      </c>
      <c r="AQ50" s="699"/>
    </row>
    <row r="51" spans="2:43" ht="15.75" customHeight="1" outlineLevel="1">
      <c r="B51" s="738" t="s">
        <v>116</v>
      </c>
      <c r="C51" s="736"/>
      <c r="D51" s="112">
        <f t="shared" ref="D51:AQ51" si="96">D19/D17</f>
        <v>0.51063482691890438</v>
      </c>
      <c r="E51" s="113">
        <f t="shared" si="96"/>
        <v>0.53437770005549801</v>
      </c>
      <c r="F51" s="112">
        <f t="shared" si="96"/>
        <v>0.5120656153896288</v>
      </c>
      <c r="G51" s="113">
        <f t="shared" si="96"/>
        <v>0.4875719158700299</v>
      </c>
      <c r="H51" s="698">
        <f t="shared" si="96"/>
        <v>0.51087664599024074</v>
      </c>
      <c r="I51" s="113">
        <f t="shared" si="96"/>
        <v>0.51178768088419591</v>
      </c>
      <c r="J51" s="112">
        <f t="shared" si="96"/>
        <v>0.53437801300541754</v>
      </c>
      <c r="K51" s="113">
        <f t="shared" si="96"/>
        <v>0.51361230318495321</v>
      </c>
      <c r="L51" s="112">
        <f t="shared" si="96"/>
        <v>0.49842536983129909</v>
      </c>
      <c r="M51" s="712">
        <f t="shared" si="96"/>
        <v>0.51460023882205297</v>
      </c>
      <c r="N51" s="112">
        <f t="shared" si="96"/>
        <v>0.51569479192913781</v>
      </c>
      <c r="O51" s="113">
        <f t="shared" si="96"/>
        <v>0.5300062883705331</v>
      </c>
      <c r="P51" s="112">
        <f t="shared" si="96"/>
        <v>0.48296852184288269</v>
      </c>
      <c r="Q51" s="113">
        <f t="shared" si="96"/>
        <v>0.44072766624597731</v>
      </c>
      <c r="R51" s="698">
        <f t="shared" si="96"/>
        <v>0.49365312231746988</v>
      </c>
      <c r="S51" s="113">
        <f t="shared" si="96"/>
        <v>0.52923348606802545</v>
      </c>
      <c r="T51" s="112">
        <f t="shared" si="96"/>
        <v>0.48896934825687016</v>
      </c>
      <c r="U51" s="113">
        <f t="shared" si="96"/>
        <v>0.51239308087817947</v>
      </c>
      <c r="V51" s="114">
        <f t="shared" si="96"/>
        <v>0.3410101761071439</v>
      </c>
      <c r="W51" s="698">
        <f t="shared" si="96"/>
        <v>0.47178235593326234</v>
      </c>
      <c r="X51" s="113">
        <f t="shared" si="96"/>
        <v>0.50253475683188065</v>
      </c>
      <c r="Y51" s="112">
        <f t="shared" si="96"/>
        <v>0.44594502535134173</v>
      </c>
      <c r="Z51" s="113">
        <f t="shared" si="96"/>
        <v>0.4807758976753686</v>
      </c>
      <c r="AA51" s="114">
        <f t="shared" si="96"/>
        <v>0.4425</v>
      </c>
      <c r="AB51" s="699">
        <f t="shared" si="96"/>
        <v>0.46737870205614429</v>
      </c>
      <c r="AC51" s="114">
        <f t="shared" si="96"/>
        <v>0.51400000000000001</v>
      </c>
      <c r="AD51" s="113">
        <f t="shared" si="96"/>
        <v>0.50600000000000001</v>
      </c>
      <c r="AE51" s="113">
        <f t="shared" si="96"/>
        <v>0.49799999999999994</v>
      </c>
      <c r="AF51" s="113">
        <f t="shared" si="96"/>
        <v>0.4425</v>
      </c>
      <c r="AG51" s="699">
        <f t="shared" si="96"/>
        <v>0.49071201596942265</v>
      </c>
      <c r="AH51" s="113">
        <f t="shared" si="96"/>
        <v>0.51400000000000001</v>
      </c>
      <c r="AI51" s="113">
        <f t="shared" si="96"/>
        <v>0.50600000000000001</v>
      </c>
      <c r="AJ51" s="113">
        <f t="shared" si="96"/>
        <v>0.49799999999999994</v>
      </c>
      <c r="AK51" s="113">
        <f t="shared" si="96"/>
        <v>0.4425</v>
      </c>
      <c r="AL51" s="699">
        <f t="shared" si="96"/>
        <v>0.49071201596942265</v>
      </c>
      <c r="AM51" s="113">
        <f t="shared" si="96"/>
        <v>0.51400000000000001</v>
      </c>
      <c r="AN51" s="113">
        <f t="shared" si="96"/>
        <v>0.50600000000000001</v>
      </c>
      <c r="AO51" s="113">
        <f t="shared" si="96"/>
        <v>0.49799999999999994</v>
      </c>
      <c r="AP51" s="113">
        <f t="shared" si="96"/>
        <v>0.4425</v>
      </c>
      <c r="AQ51" s="699">
        <f t="shared" si="96"/>
        <v>0.4907120159694226</v>
      </c>
    </row>
    <row r="52" spans="2:43" ht="15.75" customHeight="1" outlineLevel="1">
      <c r="B52" s="738" t="s">
        <v>117</v>
      </c>
      <c r="C52" s="736"/>
      <c r="D52" s="112">
        <f t="shared" ref="D52:AQ52" si="97">D25/D17</f>
        <v>0.33840809664776378</v>
      </c>
      <c r="E52" s="113">
        <f t="shared" si="97"/>
        <v>0.34007584643288313</v>
      </c>
      <c r="F52" s="112">
        <f t="shared" si="97"/>
        <v>0.32294062813868391</v>
      </c>
      <c r="G52" s="113">
        <f t="shared" si="97"/>
        <v>0.28050951207345931</v>
      </c>
      <c r="H52" s="698">
        <f t="shared" si="97"/>
        <v>0.32008427094894587</v>
      </c>
      <c r="I52" s="113">
        <f t="shared" si="97"/>
        <v>0.34764981762912028</v>
      </c>
      <c r="J52" s="112">
        <f t="shared" si="97"/>
        <v>0.33768364414303653</v>
      </c>
      <c r="K52" s="113">
        <f t="shared" si="97"/>
        <v>0.32604124695091136</v>
      </c>
      <c r="L52" s="112">
        <f t="shared" si="97"/>
        <v>0.26481454991050013</v>
      </c>
      <c r="M52" s="712">
        <f t="shared" si="97"/>
        <v>0.3197419335391285</v>
      </c>
      <c r="N52" s="112">
        <f t="shared" si="97"/>
        <v>0.36020914684632921</v>
      </c>
      <c r="O52" s="113">
        <f t="shared" si="97"/>
        <v>0.32762878423739927</v>
      </c>
      <c r="P52" s="112">
        <f t="shared" si="97"/>
        <v>0.2784971186310935</v>
      </c>
      <c r="Q52" s="113">
        <f t="shared" si="97"/>
        <v>0.18524891463714185</v>
      </c>
      <c r="R52" s="698">
        <f t="shared" si="97"/>
        <v>0.29039587475275919</v>
      </c>
      <c r="S52" s="113">
        <f t="shared" si="97"/>
        <v>0.34530094352450225</v>
      </c>
      <c r="T52" s="112">
        <f t="shared" si="97"/>
        <v>0.2711632460830371</v>
      </c>
      <c r="U52" s="113">
        <f t="shared" si="97"/>
        <v>0.25738261027826936</v>
      </c>
      <c r="V52" s="114">
        <f t="shared" si="97"/>
        <v>0.21399414183826318</v>
      </c>
      <c r="W52" s="698">
        <f t="shared" si="97"/>
        <v>0.27433665329729623</v>
      </c>
      <c r="X52" s="113">
        <f t="shared" si="97"/>
        <v>0.31351992807872398</v>
      </c>
      <c r="Y52" s="112">
        <f t="shared" si="97"/>
        <v>0.27195457072500473</v>
      </c>
      <c r="Z52" s="113">
        <f t="shared" si="97"/>
        <v>0.26411323921218066</v>
      </c>
      <c r="AA52" s="114">
        <f t="shared" si="97"/>
        <v>0.26069075801881952</v>
      </c>
      <c r="AB52" s="699">
        <f t="shared" si="97"/>
        <v>0.27677509397946842</v>
      </c>
      <c r="AC52" s="114">
        <f t="shared" si="97"/>
        <v>0.31648906340907607</v>
      </c>
      <c r="AD52" s="113">
        <f t="shared" si="97"/>
        <v>0.30753407986946413</v>
      </c>
      <c r="AE52" s="113">
        <f t="shared" si="97"/>
        <v>0.30062167388664407</v>
      </c>
      <c r="AF52" s="113">
        <f t="shared" si="97"/>
        <v>0.24543460704608869</v>
      </c>
      <c r="AG52" s="699">
        <f t="shared" si="97"/>
        <v>0.29313403364881091</v>
      </c>
      <c r="AH52" s="113">
        <f t="shared" si="97"/>
        <v>0.31558115524239272</v>
      </c>
      <c r="AI52" s="113">
        <f t="shared" si="97"/>
        <v>0.30751096344121376</v>
      </c>
      <c r="AJ52" s="113">
        <f t="shared" si="97"/>
        <v>0.29969758960442822</v>
      </c>
      <c r="AK52" s="113">
        <f t="shared" si="97"/>
        <v>0.24461623438709487</v>
      </c>
      <c r="AL52" s="699">
        <f t="shared" si="97"/>
        <v>0.29246893084761222</v>
      </c>
      <c r="AM52" s="113">
        <f t="shared" si="97"/>
        <v>0.31500155119548318</v>
      </c>
      <c r="AN52" s="113">
        <f t="shared" si="97"/>
        <v>0.30699086138622339</v>
      </c>
      <c r="AO52" s="113">
        <f t="shared" si="97"/>
        <v>0.29904987404396732</v>
      </c>
      <c r="AP52" s="113">
        <f t="shared" si="97"/>
        <v>0.24397313328842377</v>
      </c>
      <c r="AQ52" s="699">
        <f t="shared" si="97"/>
        <v>0.29187212615755881</v>
      </c>
    </row>
    <row r="53" spans="2:43" ht="15.75" customHeight="1" outlineLevel="1">
      <c r="B53" s="738" t="s">
        <v>118</v>
      </c>
      <c r="C53" s="736"/>
      <c r="D53" s="112">
        <f t="shared" ref="D53:AQ53" si="98">D39/D17</f>
        <v>0.31266671136599394</v>
      </c>
      <c r="E53" s="113">
        <f t="shared" si="98"/>
        <v>0.31037622718533775</v>
      </c>
      <c r="F53" s="112">
        <f t="shared" si="98"/>
        <v>0.30242934948723932</v>
      </c>
      <c r="G53" s="113">
        <f t="shared" si="98"/>
        <v>0.33220750941654259</v>
      </c>
      <c r="H53" s="698">
        <f t="shared" si="98"/>
        <v>0.31453647690011927</v>
      </c>
      <c r="I53" s="113">
        <f t="shared" si="98"/>
        <v>0.33586696951841039</v>
      </c>
      <c r="J53" s="112">
        <f t="shared" si="98"/>
        <v>0.32717367922645985</v>
      </c>
      <c r="K53" s="113">
        <f t="shared" si="98"/>
        <v>0.31191354576521241</v>
      </c>
      <c r="L53" s="112">
        <f t="shared" si="98"/>
        <v>0.28442855299046194</v>
      </c>
      <c r="M53" s="712">
        <f t="shared" si="98"/>
        <v>0.31524008014155941</v>
      </c>
      <c r="N53" s="112">
        <f t="shared" si="98"/>
        <v>0.34227880566639096</v>
      </c>
      <c r="O53" s="113">
        <f t="shared" si="98"/>
        <v>0.31667444732209404</v>
      </c>
      <c r="P53" s="112">
        <f t="shared" si="98"/>
        <v>0.26957730601775304</v>
      </c>
      <c r="Q53" s="113">
        <f t="shared" si="98"/>
        <v>0.278754609832567</v>
      </c>
      <c r="R53" s="698">
        <f t="shared" si="98"/>
        <v>0.30248167664035508</v>
      </c>
      <c r="S53" s="113">
        <f t="shared" si="98"/>
        <v>0.32507664111875395</v>
      </c>
      <c r="T53" s="112">
        <f t="shared" si="98"/>
        <v>0.2832366950582067</v>
      </c>
      <c r="U53" s="113">
        <f t="shared" si="98"/>
        <v>0.28577296183205525</v>
      </c>
      <c r="V53" s="114">
        <f t="shared" si="98"/>
        <v>0.29935817908273316</v>
      </c>
      <c r="W53" s="698">
        <f t="shared" si="98"/>
        <v>0.29853264016170605</v>
      </c>
      <c r="X53" s="113">
        <f t="shared" si="98"/>
        <v>0.34330810113519766</v>
      </c>
      <c r="Y53" s="112">
        <f t="shared" si="98"/>
        <v>0.3306689096454648</v>
      </c>
      <c r="Z53" s="113">
        <f t="shared" si="98"/>
        <v>0.30064586271139654</v>
      </c>
      <c r="AA53" s="114">
        <f t="shared" si="98"/>
        <v>0.35217258893337983</v>
      </c>
      <c r="AB53" s="699">
        <f t="shared" si="98"/>
        <v>0.33096093405271448</v>
      </c>
      <c r="AC53" s="114">
        <f t="shared" si="98"/>
        <v>0.3585281601480968</v>
      </c>
      <c r="AD53" s="113">
        <f t="shared" si="98"/>
        <v>0.34554211278634128</v>
      </c>
      <c r="AE53" s="113">
        <f t="shared" si="98"/>
        <v>0.33447870013908071</v>
      </c>
      <c r="AF53" s="113">
        <f t="shared" si="98"/>
        <v>0.30978561208539218</v>
      </c>
      <c r="AG53" s="699">
        <f t="shared" si="98"/>
        <v>0.33739959103046802</v>
      </c>
      <c r="AH53" s="113">
        <f t="shared" si="98"/>
        <v>0.33549554450645358</v>
      </c>
      <c r="AI53" s="113">
        <f t="shared" si="98"/>
        <v>0.32661331237637597</v>
      </c>
      <c r="AJ53" s="113">
        <f t="shared" si="98"/>
        <v>0.32557548269876185</v>
      </c>
      <c r="AK53" s="113">
        <f t="shared" si="98"/>
        <v>0.29483217739481937</v>
      </c>
      <c r="AL53" s="699">
        <f t="shared" si="98"/>
        <v>0.32093190664469357</v>
      </c>
      <c r="AM53" s="113">
        <f t="shared" si="98"/>
        <v>0.32421355678584296</v>
      </c>
      <c r="AN53" s="113">
        <f t="shared" si="98"/>
        <v>0.31334206397643422</v>
      </c>
      <c r="AO53" s="113">
        <f t="shared" si="98"/>
        <v>0.31835249052606751</v>
      </c>
      <c r="AP53" s="113">
        <f t="shared" si="98"/>
        <v>0.28227209413774235</v>
      </c>
      <c r="AQ53" s="699">
        <f t="shared" si="98"/>
        <v>0.30986915591490527</v>
      </c>
    </row>
    <row r="54" spans="2:43" ht="15.75" customHeight="1" outlineLevel="1">
      <c r="B54" s="738"/>
      <c r="C54" s="736"/>
      <c r="D54" s="112">
        <f t="shared" ref="D54:Z54" si="99">D35/D34</f>
        <v>0.24589183182819746</v>
      </c>
      <c r="E54" s="113">
        <f t="shared" si="99"/>
        <v>0.24693639622931102</v>
      </c>
      <c r="F54" s="112">
        <f t="shared" si="99"/>
        <v>0.22922786529560052</v>
      </c>
      <c r="G54" s="113">
        <f t="shared" si="99"/>
        <v>0.17030803756428817</v>
      </c>
      <c r="H54" s="698">
        <f t="shared" si="99"/>
        <v>0.22430247028729258</v>
      </c>
      <c r="I54" s="113">
        <f t="shared" si="99"/>
        <v>0.21690731940996261</v>
      </c>
      <c r="J54" s="112">
        <f t="shared" si="99"/>
        <v>0.22247640284987066</v>
      </c>
      <c r="K54" s="113">
        <f t="shared" si="99"/>
        <v>0.22828176063426989</v>
      </c>
      <c r="L54" s="112">
        <f t="shared" si="99"/>
        <v>0.22322743208566942</v>
      </c>
      <c r="M54" s="712">
        <f t="shared" si="99"/>
        <v>0.22254386089196082</v>
      </c>
      <c r="N54" s="112">
        <f t="shared" si="99"/>
        <v>0.22472374162970102</v>
      </c>
      <c r="O54" s="113">
        <f t="shared" si="99"/>
        <v>0.22125206604845213</v>
      </c>
      <c r="P54" s="112">
        <f t="shared" si="99"/>
        <v>0.24902881200115065</v>
      </c>
      <c r="Q54" s="113">
        <f t="shared" si="99"/>
        <v>0.2088866137113439</v>
      </c>
      <c r="R54" s="698">
        <f t="shared" si="99"/>
        <v>0.22690897798791085</v>
      </c>
      <c r="S54" s="113">
        <f t="shared" si="99"/>
        <v>0.21200788832786405</v>
      </c>
      <c r="T54" s="112">
        <f t="shared" si="99"/>
        <v>0.18342082054423864</v>
      </c>
      <c r="U54" s="113">
        <f t="shared" si="99"/>
        <v>0.23359239311629709</v>
      </c>
      <c r="V54" s="114">
        <f t="shared" si="99"/>
        <v>-1.8681126677755795</v>
      </c>
      <c r="W54" s="698">
        <f t="shared" si="99"/>
        <v>-0.20516949956736608</v>
      </c>
      <c r="X54" s="113">
        <f t="shared" si="99"/>
        <v>0.18089754880208228</v>
      </c>
      <c r="Y54" s="112">
        <f t="shared" si="99"/>
        <v>0.18140598956748574</v>
      </c>
      <c r="Z54" s="113">
        <f t="shared" si="99"/>
        <v>0.18006434196305715</v>
      </c>
      <c r="AA54" s="114">
        <f>22.5%</f>
        <v>0.22500000000000001</v>
      </c>
      <c r="AB54" s="699">
        <f t="shared" ref="AB54:AQ54" si="100">AA54</f>
        <v>0.22500000000000001</v>
      </c>
      <c r="AC54" s="112">
        <f t="shared" si="100"/>
        <v>0.22500000000000001</v>
      </c>
      <c r="AD54" s="113">
        <f t="shared" si="100"/>
        <v>0.22500000000000001</v>
      </c>
      <c r="AE54" s="113">
        <f t="shared" si="100"/>
        <v>0.22500000000000001</v>
      </c>
      <c r="AF54" s="113">
        <f t="shared" si="100"/>
        <v>0.22500000000000001</v>
      </c>
      <c r="AG54" s="699">
        <f t="shared" si="100"/>
        <v>0.22500000000000001</v>
      </c>
      <c r="AH54" s="113">
        <f t="shared" si="100"/>
        <v>0.22500000000000001</v>
      </c>
      <c r="AI54" s="113">
        <f t="shared" si="100"/>
        <v>0.22500000000000001</v>
      </c>
      <c r="AJ54" s="113">
        <f t="shared" si="100"/>
        <v>0.22500000000000001</v>
      </c>
      <c r="AK54" s="113">
        <f t="shared" si="100"/>
        <v>0.22500000000000001</v>
      </c>
      <c r="AL54" s="699">
        <f t="shared" si="100"/>
        <v>0.22500000000000001</v>
      </c>
      <c r="AM54" s="113">
        <f t="shared" si="100"/>
        <v>0.22500000000000001</v>
      </c>
      <c r="AN54" s="113">
        <f t="shared" si="100"/>
        <v>0.22500000000000001</v>
      </c>
      <c r="AO54" s="113">
        <f t="shared" si="100"/>
        <v>0.22500000000000001</v>
      </c>
      <c r="AP54" s="113">
        <f t="shared" si="100"/>
        <v>0.22500000000000001</v>
      </c>
      <c r="AQ54" s="699">
        <f t="shared" si="100"/>
        <v>0.22500000000000001</v>
      </c>
    </row>
    <row r="55" spans="2:43" ht="15.75" customHeight="1" outlineLevel="1">
      <c r="B55" s="738" t="s">
        <v>119</v>
      </c>
      <c r="C55" s="736"/>
      <c r="D55" s="112">
        <f t="shared" ref="D55:Z55" si="101">D22/D17</f>
        <v>4.2025892024050117E-7</v>
      </c>
      <c r="E55" s="113">
        <f t="shared" si="101"/>
        <v>0</v>
      </c>
      <c r="F55" s="112">
        <f t="shared" si="101"/>
        <v>3.0438211525775321E-7</v>
      </c>
      <c r="G55" s="113">
        <f t="shared" si="101"/>
        <v>3.2875959135959618E-7</v>
      </c>
      <c r="H55" s="698">
        <f t="shared" si="101"/>
        <v>2.6513208956378021E-7</v>
      </c>
      <c r="I55" s="113">
        <f t="shared" si="101"/>
        <v>1.493191326675102E-6</v>
      </c>
      <c r="J55" s="112">
        <f t="shared" si="101"/>
        <v>4.895960249090371E-8</v>
      </c>
      <c r="K55" s="113">
        <f t="shared" si="101"/>
        <v>1.7003411192339758E-7</v>
      </c>
      <c r="L55" s="112">
        <f t="shared" si="101"/>
        <v>3.14002130935932E-7</v>
      </c>
      <c r="M55" s="712">
        <f t="shared" si="101"/>
        <v>5.1663304795094566E-7</v>
      </c>
      <c r="N55" s="112">
        <f t="shared" si="101"/>
        <v>0</v>
      </c>
      <c r="O55" s="113">
        <f t="shared" si="101"/>
        <v>2.0855064213946882E-3</v>
      </c>
      <c r="P55" s="112">
        <f t="shared" si="101"/>
        <v>2.6539792131948492E-3</v>
      </c>
      <c r="Q55" s="113">
        <f t="shared" si="101"/>
        <v>2.947475512675862E-3</v>
      </c>
      <c r="R55" s="698">
        <f t="shared" si="101"/>
        <v>1.8959549352260525E-3</v>
      </c>
      <c r="S55" s="113">
        <f t="shared" si="101"/>
        <v>2.242882350360703E-3</v>
      </c>
      <c r="T55" s="112">
        <f t="shared" si="101"/>
        <v>3.1463589938302721E-3</v>
      </c>
      <c r="U55" s="113">
        <f t="shared" si="101"/>
        <v>4.1757380552880918E-3</v>
      </c>
      <c r="V55" s="114">
        <f t="shared" si="101"/>
        <v>4.5543047023449594E-3</v>
      </c>
      <c r="W55" s="698">
        <f t="shared" si="101"/>
        <v>3.4806681989853908E-3</v>
      </c>
      <c r="X55" s="113">
        <f t="shared" si="101"/>
        <v>3.8764840171567286E-3</v>
      </c>
      <c r="Y55" s="112">
        <f t="shared" si="101"/>
        <v>2.9245217795778955E-3</v>
      </c>
      <c r="Z55" s="113">
        <f t="shared" si="101"/>
        <v>2.459274887673188E-3</v>
      </c>
      <c r="AA55" s="114">
        <f t="shared" ref="AA55:AQ55" si="102">AVERAGE($O$55:$Z$55)</f>
        <v>3.0369290889757233E-3</v>
      </c>
      <c r="AB55" s="703">
        <f t="shared" si="102"/>
        <v>3.0369290889757233E-3</v>
      </c>
      <c r="AC55" s="114">
        <f t="shared" si="102"/>
        <v>3.0369290889757233E-3</v>
      </c>
      <c r="AD55" s="114">
        <f t="shared" si="102"/>
        <v>3.0369290889757233E-3</v>
      </c>
      <c r="AE55" s="114">
        <f t="shared" si="102"/>
        <v>3.0369290889757233E-3</v>
      </c>
      <c r="AF55" s="114">
        <f t="shared" si="102"/>
        <v>3.0369290889757233E-3</v>
      </c>
      <c r="AG55" s="703">
        <f t="shared" si="102"/>
        <v>3.0369290889757233E-3</v>
      </c>
      <c r="AH55" s="114">
        <f t="shared" si="102"/>
        <v>3.0369290889757233E-3</v>
      </c>
      <c r="AI55" s="114">
        <f t="shared" si="102"/>
        <v>3.0369290889757233E-3</v>
      </c>
      <c r="AJ55" s="114">
        <f t="shared" si="102"/>
        <v>3.0369290889757233E-3</v>
      </c>
      <c r="AK55" s="114">
        <f t="shared" si="102"/>
        <v>3.0369290889757233E-3</v>
      </c>
      <c r="AL55" s="703">
        <f t="shared" si="102"/>
        <v>3.0369290889757233E-3</v>
      </c>
      <c r="AM55" s="114">
        <f t="shared" si="102"/>
        <v>3.0369290889757233E-3</v>
      </c>
      <c r="AN55" s="114">
        <f t="shared" si="102"/>
        <v>3.0369290889757233E-3</v>
      </c>
      <c r="AO55" s="114">
        <f t="shared" si="102"/>
        <v>3.0369290889757233E-3</v>
      </c>
      <c r="AP55" s="114">
        <f t="shared" si="102"/>
        <v>3.0369290889757233E-3</v>
      </c>
      <c r="AQ55" s="703">
        <f t="shared" si="102"/>
        <v>3.0369290889757233E-3</v>
      </c>
    </row>
    <row r="56" spans="2:43" ht="15.75" customHeight="1" outlineLevel="1">
      <c r="B56" s="738" t="s">
        <v>120</v>
      </c>
      <c r="C56" s="736"/>
      <c r="D56" s="112">
        <f t="shared" ref="D56:Z56" si="103">D20/D17</f>
        <v>0.15232698000290687</v>
      </c>
      <c r="E56" s="112">
        <f t="shared" si="103"/>
        <v>0.17074755181864434</v>
      </c>
      <c r="F56" s="112">
        <f t="shared" si="103"/>
        <v>0.16802401934697705</v>
      </c>
      <c r="G56" s="112">
        <f t="shared" si="103"/>
        <v>0.18410143305098906</v>
      </c>
      <c r="H56" s="698">
        <f t="shared" si="103"/>
        <v>0.16891441536073937</v>
      </c>
      <c r="I56" s="113">
        <f t="shared" si="103"/>
        <v>0.14975807586561712</v>
      </c>
      <c r="J56" s="112">
        <f t="shared" si="103"/>
        <v>0.17558533628630427</v>
      </c>
      <c r="K56" s="113">
        <f t="shared" si="103"/>
        <v>0.1667864647542609</v>
      </c>
      <c r="L56" s="112">
        <f t="shared" si="103"/>
        <v>0.23605424879889672</v>
      </c>
      <c r="M56" s="712">
        <f t="shared" si="103"/>
        <v>0.18124381218650631</v>
      </c>
      <c r="N56" s="112">
        <f t="shared" si="103"/>
        <v>0.16238452164367448</v>
      </c>
      <c r="O56" s="113">
        <f t="shared" si="103"/>
        <v>0.18237903159217347</v>
      </c>
      <c r="P56" s="112">
        <f t="shared" si="103"/>
        <v>0.19173194207266461</v>
      </c>
      <c r="Q56" s="113">
        <f t="shared" si="103"/>
        <v>0.21957104640485944</v>
      </c>
      <c r="R56" s="700">
        <f t="shared" si="103"/>
        <v>0.18828246124412937</v>
      </c>
      <c r="S56" s="113">
        <f t="shared" si="103"/>
        <v>0.16956736376804077</v>
      </c>
      <c r="T56" s="112">
        <f t="shared" si="103"/>
        <v>0.19258118801433249</v>
      </c>
      <c r="U56" s="113">
        <f t="shared" si="103"/>
        <v>0.22900317726089639</v>
      </c>
      <c r="V56" s="114">
        <f t="shared" si="103"/>
        <v>8.9589286693528919E-2</v>
      </c>
      <c r="W56" s="698">
        <f t="shared" si="103"/>
        <v>0.17212162410655787</v>
      </c>
      <c r="X56" s="113">
        <f t="shared" si="103"/>
        <v>0.17228589795260812</v>
      </c>
      <c r="Y56" s="112">
        <f t="shared" si="103"/>
        <v>0.14961232365603924</v>
      </c>
      <c r="Z56" s="113">
        <f t="shared" si="103"/>
        <v>0.19473703356492389</v>
      </c>
      <c r="AA56" s="114">
        <f t="shared" ref="AA56:AQ56" si="104">AVERAGE($D$56:$Z$56)</f>
        <v>0.17684301023679438</v>
      </c>
      <c r="AB56" s="703">
        <f t="shared" si="104"/>
        <v>0.17684301023679438</v>
      </c>
      <c r="AC56" s="114">
        <f t="shared" si="104"/>
        <v>0.17684301023679438</v>
      </c>
      <c r="AD56" s="114">
        <f t="shared" si="104"/>
        <v>0.17684301023679438</v>
      </c>
      <c r="AE56" s="114">
        <f t="shared" si="104"/>
        <v>0.17684301023679438</v>
      </c>
      <c r="AF56" s="114">
        <f t="shared" si="104"/>
        <v>0.17684301023679438</v>
      </c>
      <c r="AG56" s="703">
        <f t="shared" si="104"/>
        <v>0.17684301023679438</v>
      </c>
      <c r="AH56" s="114">
        <f t="shared" si="104"/>
        <v>0.17684301023679438</v>
      </c>
      <c r="AI56" s="114">
        <f t="shared" si="104"/>
        <v>0.17684301023679438</v>
      </c>
      <c r="AJ56" s="114">
        <f t="shared" si="104"/>
        <v>0.17684301023679438</v>
      </c>
      <c r="AK56" s="114">
        <f t="shared" si="104"/>
        <v>0.17684301023679438</v>
      </c>
      <c r="AL56" s="703">
        <f t="shared" si="104"/>
        <v>0.17684301023679438</v>
      </c>
      <c r="AM56" s="114">
        <f t="shared" si="104"/>
        <v>0.17684301023679438</v>
      </c>
      <c r="AN56" s="114">
        <f t="shared" si="104"/>
        <v>0.17684301023679438</v>
      </c>
      <c r="AO56" s="114">
        <f t="shared" si="104"/>
        <v>0.17684301023679438</v>
      </c>
      <c r="AP56" s="114">
        <f t="shared" si="104"/>
        <v>0.17684301023679438</v>
      </c>
      <c r="AQ56" s="703">
        <f t="shared" si="104"/>
        <v>0.17684301023679438</v>
      </c>
    </row>
    <row r="57" spans="2:43" ht="15.75" customHeight="1" outlineLevel="1">
      <c r="B57" s="81" t="s">
        <v>121</v>
      </c>
      <c r="C57" s="116"/>
      <c r="D57" s="112">
        <f t="shared" ref="D57:Z57" si="105">D21/D17</f>
        <v>1.9899330009313494E-2</v>
      </c>
      <c r="E57" s="113">
        <f t="shared" si="105"/>
        <v>2.4453257046946238E-2</v>
      </c>
      <c r="F57" s="112">
        <f t="shared" si="105"/>
        <v>2.4801041908735333E-2</v>
      </c>
      <c r="G57" s="113">
        <f t="shared" si="105"/>
        <v>2.6755144469766127E-2</v>
      </c>
      <c r="H57" s="698">
        <f t="shared" si="105"/>
        <v>2.4001161574629278E-2</v>
      </c>
      <c r="I57" s="113">
        <f t="shared" si="105"/>
        <v>1.7781305463386181E-2</v>
      </c>
      <c r="J57" s="112">
        <f t="shared" si="105"/>
        <v>2.3836704961449205E-2</v>
      </c>
      <c r="K57" s="113">
        <f t="shared" si="105"/>
        <v>2.3893548834059843E-2</v>
      </c>
      <c r="L57" s="112">
        <f t="shared" si="105"/>
        <v>3.2381253331285498E-2</v>
      </c>
      <c r="M57" s="712">
        <f t="shared" si="105"/>
        <v>2.4345560516823749E-2</v>
      </c>
      <c r="N57" s="112">
        <f t="shared" si="105"/>
        <v>2.1440389076349774E-2</v>
      </c>
      <c r="O57" s="113">
        <f t="shared" si="105"/>
        <v>2.3565787579015937E-2</v>
      </c>
      <c r="P57" s="112">
        <f t="shared" si="105"/>
        <v>2.2282038227029032E-2</v>
      </c>
      <c r="Q57" s="113">
        <f t="shared" si="105"/>
        <v>3.122432414302136E-2</v>
      </c>
      <c r="R57" s="700">
        <f t="shared" si="105"/>
        <v>2.447884997329899E-2</v>
      </c>
      <c r="S57" s="113">
        <f t="shared" si="105"/>
        <v>1.8381896529774375E-2</v>
      </c>
      <c r="T57" s="112">
        <f t="shared" si="105"/>
        <v>2.2774078050785473E-2</v>
      </c>
      <c r="U57" s="113">
        <f t="shared" si="105"/>
        <v>2.3645362523542789E-2</v>
      </c>
      <c r="V57" s="114">
        <f t="shared" si="105"/>
        <v>4.4135192917909898E-2</v>
      </c>
      <c r="W57" s="698">
        <f t="shared" si="105"/>
        <v>2.6674808488504793E-2</v>
      </c>
      <c r="X57" s="113">
        <f t="shared" si="105"/>
        <v>2.4756245645375506E-2</v>
      </c>
      <c r="Y57" s="112">
        <f t="shared" si="105"/>
        <v>2.2280870924384234E-2</v>
      </c>
      <c r="Z57" s="113">
        <f t="shared" si="105"/>
        <v>2.6900664123152253E-2</v>
      </c>
      <c r="AA57" s="114">
        <f t="shared" ref="AA57:AQ57" si="106">AVERAGE($D$57:$Z$57)</f>
        <v>2.4986470274719098E-2</v>
      </c>
      <c r="AB57" s="703">
        <f t="shared" si="106"/>
        <v>2.4986470274719098E-2</v>
      </c>
      <c r="AC57" s="114">
        <f t="shared" si="106"/>
        <v>2.4986470274719098E-2</v>
      </c>
      <c r="AD57" s="114">
        <f t="shared" si="106"/>
        <v>2.4986470274719098E-2</v>
      </c>
      <c r="AE57" s="114">
        <f t="shared" si="106"/>
        <v>2.4986470274719098E-2</v>
      </c>
      <c r="AF57" s="114">
        <f t="shared" si="106"/>
        <v>2.4986470274719098E-2</v>
      </c>
      <c r="AG57" s="703">
        <f t="shared" si="106"/>
        <v>2.4986470274719098E-2</v>
      </c>
      <c r="AH57" s="114">
        <f t="shared" si="106"/>
        <v>2.4986470274719098E-2</v>
      </c>
      <c r="AI57" s="114">
        <f t="shared" si="106"/>
        <v>2.4986470274719098E-2</v>
      </c>
      <c r="AJ57" s="114">
        <f t="shared" si="106"/>
        <v>2.4986470274719098E-2</v>
      </c>
      <c r="AK57" s="114">
        <f t="shared" si="106"/>
        <v>2.4986470274719098E-2</v>
      </c>
      <c r="AL57" s="703">
        <f t="shared" si="106"/>
        <v>2.4986470274719098E-2</v>
      </c>
      <c r="AM57" s="114">
        <f t="shared" si="106"/>
        <v>2.4986470274719098E-2</v>
      </c>
      <c r="AN57" s="114">
        <f t="shared" si="106"/>
        <v>2.4986470274719098E-2</v>
      </c>
      <c r="AO57" s="114">
        <f t="shared" si="106"/>
        <v>2.4986470274719098E-2</v>
      </c>
      <c r="AP57" s="114">
        <f t="shared" si="106"/>
        <v>2.4986470274719098E-2</v>
      </c>
      <c r="AQ57" s="703">
        <f t="shared" si="106"/>
        <v>2.4986470274719098E-2</v>
      </c>
    </row>
    <row r="58" spans="2:43" ht="15.75" customHeight="1" outlineLevel="1">
      <c r="B58" s="81" t="s">
        <v>122</v>
      </c>
      <c r="C58" s="116"/>
      <c r="D58" s="112">
        <f t="shared" ref="D58:X58" si="107">D16/D15</f>
        <v>0.14594851529286632</v>
      </c>
      <c r="E58" s="113">
        <f t="shared" si="107"/>
        <v>0.1385363573117116</v>
      </c>
      <c r="F58" s="112">
        <f t="shared" si="107"/>
        <v>0.13672245841019745</v>
      </c>
      <c r="G58" s="113">
        <f t="shared" si="107"/>
        <v>0.10246159395939058</v>
      </c>
      <c r="H58" s="698">
        <f t="shared" si="107"/>
        <v>0.13099776411007588</v>
      </c>
      <c r="I58" s="113">
        <f t="shared" si="107"/>
        <v>0.14586884484675083</v>
      </c>
      <c r="J58" s="112">
        <f t="shared" si="107"/>
        <v>0.13612991406465716</v>
      </c>
      <c r="K58" s="113">
        <f t="shared" si="107"/>
        <v>0.13217863947652742</v>
      </c>
      <c r="L58" s="112">
        <f t="shared" si="107"/>
        <v>0.11483075915228358</v>
      </c>
      <c r="M58" s="712">
        <f t="shared" si="107"/>
        <v>0.13265203824467495</v>
      </c>
      <c r="N58" s="112">
        <f t="shared" si="107"/>
        <v>0.14583590791317619</v>
      </c>
      <c r="O58" s="113">
        <f t="shared" si="107"/>
        <v>0.1350811991307162</v>
      </c>
      <c r="P58" s="112">
        <f t="shared" si="107"/>
        <v>0.13325755437095746</v>
      </c>
      <c r="Q58" s="113">
        <f t="shared" si="107"/>
        <v>0.11369607023103814</v>
      </c>
      <c r="R58" s="700">
        <f t="shared" si="107"/>
        <v>0.13254497984984034</v>
      </c>
      <c r="S58" s="113">
        <f t="shared" si="107"/>
        <v>0.14593928729287561</v>
      </c>
      <c r="T58" s="112">
        <f t="shared" si="107"/>
        <v>0.13625578783658371</v>
      </c>
      <c r="U58" s="113">
        <f t="shared" si="107"/>
        <v>0.13028146979786942</v>
      </c>
      <c r="V58" s="114">
        <f t="shared" si="107"/>
        <v>-1.1960849573786039</v>
      </c>
      <c r="W58" s="698">
        <f t="shared" si="107"/>
        <v>0</v>
      </c>
      <c r="X58" s="113">
        <f t="shared" si="107"/>
        <v>0</v>
      </c>
      <c r="Y58" s="112" t="s">
        <v>84</v>
      </c>
      <c r="Z58" s="113">
        <f t="shared" ref="Z58:AQ58" si="108">Z16/Z15</f>
        <v>0</v>
      </c>
      <c r="AA58" s="114">
        <f t="shared" si="108"/>
        <v>0</v>
      </c>
      <c r="AB58" s="699">
        <f t="shared" si="108"/>
        <v>0</v>
      </c>
      <c r="AC58" s="114">
        <f t="shared" si="108"/>
        <v>0</v>
      </c>
      <c r="AD58" s="113">
        <f t="shared" si="108"/>
        <v>0</v>
      </c>
      <c r="AE58" s="113">
        <f t="shared" si="108"/>
        <v>0</v>
      </c>
      <c r="AF58" s="113">
        <f t="shared" si="108"/>
        <v>0</v>
      </c>
      <c r="AG58" s="699">
        <f t="shared" si="108"/>
        <v>0</v>
      </c>
      <c r="AH58" s="113">
        <f t="shared" si="108"/>
        <v>0</v>
      </c>
      <c r="AI58" s="113">
        <f t="shared" si="108"/>
        <v>0</v>
      </c>
      <c r="AJ58" s="113">
        <f t="shared" si="108"/>
        <v>0</v>
      </c>
      <c r="AK58" s="113">
        <f t="shared" si="108"/>
        <v>0</v>
      </c>
      <c r="AL58" s="699">
        <f t="shared" si="108"/>
        <v>0</v>
      </c>
      <c r="AM58" s="113">
        <f t="shared" si="108"/>
        <v>0</v>
      </c>
      <c r="AN58" s="113">
        <f t="shared" si="108"/>
        <v>0</v>
      </c>
      <c r="AO58" s="113">
        <f t="shared" si="108"/>
        <v>0</v>
      </c>
      <c r="AP58" s="113">
        <f t="shared" si="108"/>
        <v>0</v>
      </c>
      <c r="AQ58" s="699">
        <f t="shared" si="108"/>
        <v>0</v>
      </c>
    </row>
    <row r="59" spans="2:43" ht="15.75" customHeight="1" outlineLevel="1">
      <c r="B59" s="81" t="s">
        <v>123</v>
      </c>
      <c r="C59" s="116"/>
      <c r="D59" s="112">
        <f t="shared" ref="D59:Z59" si="109">D36/D34</f>
        <v>3.131346330516678E-3</v>
      </c>
      <c r="E59" s="113">
        <f t="shared" si="109"/>
        <v>5.3018492938659583E-5</v>
      </c>
      <c r="F59" s="112">
        <f t="shared" si="109"/>
        <v>-1.4384592187399159E-2</v>
      </c>
      <c r="G59" s="113">
        <f t="shared" si="109"/>
        <v>5.1766591269721086E-2</v>
      </c>
      <c r="H59" s="698">
        <f t="shared" si="109"/>
        <v>9.3907677877617547E-3</v>
      </c>
      <c r="I59" s="113">
        <f t="shared" si="109"/>
        <v>1.590665591283641E-3</v>
      </c>
      <c r="J59" s="112">
        <f t="shared" si="109"/>
        <v>3.4989604173077029E-3</v>
      </c>
      <c r="K59" s="113">
        <f t="shared" si="109"/>
        <v>6.4778330933977035E-4</v>
      </c>
      <c r="L59" s="112">
        <f t="shared" si="109"/>
        <v>-4.4662283084422674E-3</v>
      </c>
      <c r="M59" s="712">
        <f t="shared" si="109"/>
        <v>5.5346759778040708E-4</v>
      </c>
      <c r="N59" s="112">
        <f t="shared" si="109"/>
        <v>3.2901203474996819E-3</v>
      </c>
      <c r="O59" s="113">
        <f t="shared" si="109"/>
        <v>-1.4107477471545942E-3</v>
      </c>
      <c r="P59" s="112">
        <f t="shared" si="109"/>
        <v>-7.5433223176913386E-4</v>
      </c>
      <c r="Q59" s="113">
        <f t="shared" si="109"/>
        <v>3.7733388838560304E-2</v>
      </c>
      <c r="R59" s="700">
        <f t="shared" si="109"/>
        <v>6.9152739634951426E-3</v>
      </c>
      <c r="S59" s="113">
        <f t="shared" si="109"/>
        <v>6.3191617031345898E-3</v>
      </c>
      <c r="T59" s="112">
        <f t="shared" si="109"/>
        <v>-2.1972841616732738E-2</v>
      </c>
      <c r="U59" s="113">
        <f t="shared" si="109"/>
        <v>6.5278255276528141E-2</v>
      </c>
      <c r="V59" s="114">
        <f t="shared" si="109"/>
        <v>1.8861478466970824E-3</v>
      </c>
      <c r="W59" s="698">
        <f t="shared" si="109"/>
        <v>1.2011536155685783E-2</v>
      </c>
      <c r="X59" s="113">
        <f t="shared" si="109"/>
        <v>5.8934517842918208E-3</v>
      </c>
      <c r="Y59" s="112">
        <f t="shared" si="109"/>
        <v>4.4006668481020089E-3</v>
      </c>
      <c r="Z59" s="113">
        <f t="shared" si="109"/>
        <v>3.4316877973012134E-3</v>
      </c>
      <c r="AA59" s="114">
        <f t="shared" ref="AA59:AB59" si="110">AVERAGE(G59,L59,Q59,V59)</f>
        <v>2.1729974911634052E-2</v>
      </c>
      <c r="AB59" s="699">
        <f t="shared" si="110"/>
        <v>7.2177613761807719E-3</v>
      </c>
      <c r="AC59" s="114">
        <f t="shared" ref="AC59:AD59" si="111">AVERAGE(I59,N59,S59,X59,D59)</f>
        <v>4.0449491513452817E-3</v>
      </c>
      <c r="AD59" s="113">
        <f t="shared" si="111"/>
        <v>-3.0861887211077921E-3</v>
      </c>
      <c r="AE59" s="113">
        <f>AVERAGE(F59,K59,P59,U59,Z59)</f>
        <v>1.0843760392800167E-2</v>
      </c>
      <c r="AF59" s="113">
        <f t="shared" ref="AF59:AG59" si="112">AVERAGE(L59,Q59,V59,AA59,G59)</f>
        <v>2.1729974911634052E-2</v>
      </c>
      <c r="AG59" s="699">
        <f t="shared" si="112"/>
        <v>7.2177613761807719E-3</v>
      </c>
      <c r="AH59" s="113">
        <f>AVERAGE(N59,S59,X59,AC59,I59,D59)</f>
        <v>4.0449491513452817E-3</v>
      </c>
      <c r="AI59" s="113">
        <f>AVERAGE(O59,T59,Y59,AD59,E59,J59)</f>
        <v>-3.0861887211077917E-3</v>
      </c>
      <c r="AJ59" s="113">
        <f>AVERAGE(P59,U59,Z59,AE59,F59)</f>
        <v>1.2882955809492247E-2</v>
      </c>
      <c r="AK59" s="113">
        <f t="shared" ref="AK59:AL59" si="113">AVERAGE(Q59,V59,AA59,AF59,L59,G59)</f>
        <v>2.1729974911634049E-2</v>
      </c>
      <c r="AL59" s="699">
        <f t="shared" si="113"/>
        <v>7.2177613761807711E-3</v>
      </c>
      <c r="AM59" s="113">
        <f>AVERAGE(S59,X59,AC59,AH59,D59)</f>
        <v>4.6867716241267305E-3</v>
      </c>
      <c r="AN59" s="113">
        <f>AVERAGE(T59,Y59,AD59,AI59,O59,J59,E59)</f>
        <v>-3.0861887211077917E-3</v>
      </c>
      <c r="AO59" s="113">
        <f>AVERAGE(U59,Z59,AE59,AJ59,P59,G59)</f>
        <v>2.3908153052345619E-2</v>
      </c>
      <c r="AP59" s="113">
        <f t="shared" ref="AP59:AQ59" si="114">AVERAGE(V59,AA59,AF59,AK59,Q59,L59,G59)</f>
        <v>2.1729974911634052E-2</v>
      </c>
      <c r="AQ59" s="699">
        <f t="shared" si="114"/>
        <v>7.2177613761807719E-3</v>
      </c>
    </row>
    <row r="60" spans="2:43" ht="15.75" customHeight="1" outlineLevel="1">
      <c r="B60" s="81"/>
      <c r="C60" s="116"/>
      <c r="D60" s="112"/>
      <c r="E60" s="113"/>
      <c r="F60" s="112"/>
      <c r="G60" s="113"/>
      <c r="H60" s="698"/>
      <c r="I60" s="113"/>
      <c r="J60" s="112"/>
      <c r="K60" s="113"/>
      <c r="L60" s="112"/>
      <c r="M60" s="712"/>
      <c r="N60" s="112"/>
      <c r="O60" s="113"/>
      <c r="P60" s="112"/>
      <c r="Q60" s="113"/>
      <c r="R60" s="700"/>
      <c r="S60" s="113"/>
      <c r="T60" s="112"/>
      <c r="U60" s="113"/>
      <c r="V60" s="114"/>
      <c r="W60" s="698"/>
      <c r="X60" s="113"/>
      <c r="Y60" s="112"/>
      <c r="Z60" s="113"/>
      <c r="AA60" s="114"/>
      <c r="AB60" s="699"/>
      <c r="AC60" s="113"/>
      <c r="AD60" s="113"/>
      <c r="AE60" s="113"/>
      <c r="AF60" s="113"/>
      <c r="AG60" s="699"/>
      <c r="AH60" s="113"/>
      <c r="AI60" s="113"/>
      <c r="AJ60" s="113"/>
      <c r="AK60" s="113"/>
      <c r="AL60" s="699"/>
      <c r="AM60" s="117"/>
      <c r="AN60" s="117"/>
      <c r="AO60" s="117"/>
      <c r="AP60" s="117"/>
      <c r="AQ60" s="704"/>
    </row>
    <row r="61" spans="2:43" ht="15.75" customHeight="1" outlineLevel="1">
      <c r="B61" s="738" t="s">
        <v>124</v>
      </c>
      <c r="C61" s="736"/>
      <c r="D61" s="112"/>
      <c r="E61" s="113">
        <f t="shared" ref="E61:G61" si="115">E200/((D82+E82)/2+AVERAGE(D90,E90))</f>
        <v>0.15679425998463306</v>
      </c>
      <c r="F61" s="113">
        <f t="shared" si="115"/>
        <v>0.19118427838638147</v>
      </c>
      <c r="G61" s="113">
        <f t="shared" si="115"/>
        <v>6.2919113062497103E-2</v>
      </c>
      <c r="H61" s="699"/>
      <c r="I61" s="113">
        <f>I200/((G82+I82)/2+AVERAGE(G90,I90))</f>
        <v>0.14456680664017971</v>
      </c>
      <c r="J61" s="113">
        <f t="shared" ref="J61:L61" si="116">J200/((I82+J82)/2+AVERAGE(I90,J90))</f>
        <v>0.21281708243476932</v>
      </c>
      <c r="K61" s="113">
        <f t="shared" si="116"/>
        <v>0.16770824753090402</v>
      </c>
      <c r="L61" s="113">
        <f t="shared" si="116"/>
        <v>0.12033567195937508</v>
      </c>
      <c r="M61" s="699"/>
      <c r="N61" s="113">
        <f>N200/((L82+N82)/2+AVERAGE(L90,N90))</f>
        <v>0.16133720162555307</v>
      </c>
      <c r="O61" s="113">
        <f t="shared" ref="O61:Q61" si="117">O200/((N82+O82)/2+AVERAGE(N90,O90))</f>
        <v>0.27957057679206676</v>
      </c>
      <c r="P61" s="113">
        <f t="shared" si="117"/>
        <v>0.20069265856189755</v>
      </c>
      <c r="Q61" s="113">
        <f t="shared" si="117"/>
        <v>0.23838684008734937</v>
      </c>
      <c r="R61" s="710"/>
      <c r="S61" s="113">
        <f>S200/((Q82+S82)/2+AVERAGE(Q90,S90))</f>
        <v>9.3906714186175258E-2</v>
      </c>
      <c r="T61" s="113">
        <f t="shared" ref="T61:V61" si="118">T200/((S82+T82)/2+AVERAGE(S90,T90))</f>
        <v>0.16555381791511303</v>
      </c>
      <c r="U61" s="113">
        <f t="shared" si="118"/>
        <v>2.0204414233201157E-2</v>
      </c>
      <c r="V61" s="113">
        <f t="shared" si="118"/>
        <v>0.17466315800443138</v>
      </c>
      <c r="W61" s="699"/>
      <c r="X61" s="113">
        <f>X200/((V82+X82)/2+AVERAGE(V90,X90))</f>
        <v>0.12629065306051002</v>
      </c>
      <c r="Y61" s="113">
        <f t="shared" ref="Y61:Z61" si="119">Y200/((X82+Y82)/2+AVERAGE(X90,Y90))</f>
        <v>0.14802496560956083</v>
      </c>
      <c r="Z61" s="113">
        <f t="shared" si="119"/>
        <v>2.2414908159209785E-2</v>
      </c>
      <c r="AA61" s="114">
        <f t="shared" ref="AA61:AA62" si="120">AVERAGE(V61,X61:Z61)</f>
        <v>0.11784842120842801</v>
      </c>
      <c r="AB61" s="699"/>
      <c r="AC61" s="113">
        <f>AVERAGE(X61:AA61)</f>
        <v>0.10364473700942714</v>
      </c>
      <c r="AD61" s="113">
        <f>AVERAGE(Y61:AA61,AC61)</f>
        <v>9.7983257996656442E-2</v>
      </c>
      <c r="AE61" s="113">
        <f>AVERAGE(Z61:AA61,AC61:AD61)</f>
        <v>8.5472831093430346E-2</v>
      </c>
      <c r="AF61" s="113">
        <f>AVERAGE(AA61,AC61:AE61)</f>
        <v>0.10123731182698549</v>
      </c>
      <c r="AG61" s="699"/>
      <c r="AH61" s="113">
        <f>AVERAGE(AC61:AF61)</f>
        <v>9.7084534481624851E-2</v>
      </c>
      <c r="AI61" s="113">
        <f>AVERAGE(AD61:AF61,AH61)</f>
        <v>9.5444483849674286E-2</v>
      </c>
      <c r="AJ61" s="113">
        <f>AVERAGE(AE61:AF61,AH61:AI61)</f>
        <v>9.4809790312928743E-2</v>
      </c>
      <c r="AK61" s="113">
        <f>AVERAGE(AF61,AH61:AJ61)</f>
        <v>9.7144030117803343E-2</v>
      </c>
      <c r="AL61" s="699"/>
      <c r="AM61" s="113">
        <f>AVERAGE(AH61:AK61)</f>
        <v>9.6120709690507816E-2</v>
      </c>
      <c r="AN61" s="113">
        <f>AVERAGE(AI61:AK61,AM61)</f>
        <v>9.5879753492728537E-2</v>
      </c>
      <c r="AO61" s="113">
        <f>AVERAGE(AJ61:AK61,AM61:AN61)</f>
        <v>9.598857090349211E-2</v>
      </c>
      <c r="AP61" s="113">
        <f>AVERAGE(AK61,AM61:AO61)</f>
        <v>9.6283266051132951E-2</v>
      </c>
      <c r="AQ61" s="699"/>
    </row>
    <row r="62" spans="2:43" ht="15.75" customHeight="1" outlineLevel="1">
      <c r="B62" s="81" t="s">
        <v>125</v>
      </c>
      <c r="C62" s="119"/>
      <c r="D62" s="112"/>
      <c r="E62" s="113">
        <f t="shared" ref="E62:G62" si="121">E27/(((D82+E82)/2)+AVERAGE(D90,E90))</f>
        <v>1.4249840274540937E-2</v>
      </c>
      <c r="F62" s="113">
        <f t="shared" si="121"/>
        <v>8.2059835108851172E-3</v>
      </c>
      <c r="G62" s="113">
        <f t="shared" si="121"/>
        <v>5.7008103762222685E-2</v>
      </c>
      <c r="H62" s="699"/>
      <c r="I62" s="113">
        <f>I27/(((G82+I82)/2)+AVERAGE(G90,I90))</f>
        <v>5.4856460364650682E-3</v>
      </c>
      <c r="J62" s="113">
        <f t="shared" ref="J62:L62" si="122">J27/(((I82+J82)/2)+AVERAGE(I90,J90))</f>
        <v>2.1595568031413815E-3</v>
      </c>
      <c r="K62" s="113">
        <f t="shared" si="122"/>
        <v>4.8199620924293238E-2</v>
      </c>
      <c r="L62" s="113">
        <f t="shared" si="122"/>
        <v>3.5486161018480976E-2</v>
      </c>
      <c r="M62" s="699"/>
      <c r="N62" s="113">
        <f>N27/(((L82+N82)/2)+AVERAGE(L90,N90))</f>
        <v>5.5636185023849472E-3</v>
      </c>
      <c r="O62" s="113">
        <f t="shared" ref="O62:Q62" si="123">O27/(((N82+O82)/2)+AVERAGE(N90,O90))</f>
        <v>5.4969625430806805E-3</v>
      </c>
      <c r="P62" s="113">
        <f t="shared" si="123"/>
        <v>9.779623223837064E-2</v>
      </c>
      <c r="Q62" s="113">
        <f t="shared" si="123"/>
        <v>1.6839035340307212E-2</v>
      </c>
      <c r="R62" s="710"/>
      <c r="S62" s="113">
        <f>S27/(((Q82+S82)/2)+AVERAGE(Q90,S90))</f>
        <v>2.6838766127251857E-3</v>
      </c>
      <c r="T62" s="113">
        <f t="shared" ref="T62:V62" si="124">T27/(((S82+T82)/2)+AVERAGE(S90,T90))</f>
        <v>-2.4568156425080838E-5</v>
      </c>
      <c r="U62" s="113">
        <f t="shared" si="124"/>
        <v>0</v>
      </c>
      <c r="V62" s="113">
        <f t="shared" si="124"/>
        <v>0</v>
      </c>
      <c r="W62" s="699"/>
      <c r="X62" s="113">
        <f>X27/(((V82+X82)/2)+AVERAGE(V90,X90))</f>
        <v>0</v>
      </c>
      <c r="Y62" s="113">
        <f t="shared" ref="Y62:Z62" si="125">Y27/(((X82+Y82)/2)+AVERAGE(X90,Y90))</f>
        <v>0</v>
      </c>
      <c r="Z62" s="113">
        <f t="shared" si="125"/>
        <v>0</v>
      </c>
      <c r="AA62" s="114">
        <f t="shared" si="120"/>
        <v>0</v>
      </c>
      <c r="AB62" s="699"/>
      <c r="AC62" s="114">
        <f t="shared" ref="AC62:AF62" si="126">AVERAGE(X62,Z62:AB62)</f>
        <v>0</v>
      </c>
      <c r="AD62" s="113">
        <f t="shared" si="126"/>
        <v>0</v>
      </c>
      <c r="AE62" s="113">
        <f t="shared" si="126"/>
        <v>0</v>
      </c>
      <c r="AF62" s="113">
        <f t="shared" si="126"/>
        <v>0</v>
      </c>
      <c r="AG62" s="699"/>
      <c r="AH62" s="113">
        <f t="shared" ref="AH62:AK62" si="127">AVERAGE(AC62,AE62:AG62)</f>
        <v>0</v>
      </c>
      <c r="AI62" s="113">
        <f t="shared" si="127"/>
        <v>0</v>
      </c>
      <c r="AJ62" s="113">
        <f t="shared" si="127"/>
        <v>0</v>
      </c>
      <c r="AK62" s="113">
        <f t="shared" si="127"/>
        <v>0</v>
      </c>
      <c r="AL62" s="699"/>
      <c r="AM62" s="113">
        <f t="shared" ref="AM62:AP62" si="128">AVERAGE(AH62,AJ62:AL62)</f>
        <v>0</v>
      </c>
      <c r="AN62" s="113">
        <f t="shared" si="128"/>
        <v>0</v>
      </c>
      <c r="AO62" s="113">
        <f t="shared" si="128"/>
        <v>0</v>
      </c>
      <c r="AP62" s="113">
        <f t="shared" si="128"/>
        <v>0</v>
      </c>
      <c r="AQ62" s="699"/>
    </row>
    <row r="63" spans="2:43" ht="15.75" customHeight="1" outlineLevel="1">
      <c r="B63" s="120" t="s">
        <v>126</v>
      </c>
      <c r="C63" s="121"/>
      <c r="D63" s="113"/>
      <c r="E63" s="113"/>
      <c r="F63" s="113"/>
      <c r="G63" s="113">
        <f>G28/((G107+G110)+(F107+F110))/2</f>
        <v>0</v>
      </c>
      <c r="H63" s="699"/>
      <c r="I63" s="113">
        <f>I28/((I107+I110)+(G107+G110))/2</f>
        <v>0</v>
      </c>
      <c r="J63" s="113">
        <f t="shared" ref="J63:L63" si="129">J28/((J107+J110)+(I107+I110))/2</f>
        <v>0</v>
      </c>
      <c r="K63" s="113">
        <f t="shared" si="129"/>
        <v>0</v>
      </c>
      <c r="L63" s="113">
        <f t="shared" si="129"/>
        <v>0</v>
      </c>
      <c r="M63" s="699"/>
      <c r="N63" s="113">
        <f>N28/((N107+N110)+(L107+L110))/2</f>
        <v>0</v>
      </c>
      <c r="O63" s="113">
        <f t="shared" ref="O63:Q63" si="130">O28/((O107+O110)+(N107+N110))/2</f>
        <v>0</v>
      </c>
      <c r="P63" s="113">
        <f t="shared" si="130"/>
        <v>0</v>
      </c>
      <c r="Q63" s="113">
        <f t="shared" si="130"/>
        <v>0</v>
      </c>
      <c r="R63" s="699"/>
      <c r="S63" s="113">
        <f>S28/((S107+S110)+(Q107+Q110))/2</f>
        <v>0</v>
      </c>
      <c r="T63" s="113">
        <f t="shared" ref="T63:V63" si="131">T28/((T107+T110)+(S107+S110))/2</f>
        <v>0</v>
      </c>
      <c r="U63" s="113">
        <f t="shared" si="131"/>
        <v>0</v>
      </c>
      <c r="V63" s="113">
        <f t="shared" si="131"/>
        <v>0</v>
      </c>
      <c r="W63" s="699"/>
      <c r="X63" s="113">
        <f>X28/((X107+X110)+(V107+V110))/2</f>
        <v>0</v>
      </c>
      <c r="Y63" s="113">
        <f t="shared" ref="Y63:Z63" si="132">Y28/((Y107+Y110)+(X107+X110))/2</f>
        <v>0</v>
      </c>
      <c r="Z63" s="113">
        <f t="shared" si="132"/>
        <v>0</v>
      </c>
      <c r="AA63" s="114"/>
      <c r="AB63" s="699"/>
      <c r="AC63" s="113"/>
      <c r="AD63" s="113"/>
      <c r="AE63" s="113"/>
      <c r="AF63" s="113"/>
      <c r="AG63" s="699"/>
      <c r="AH63" s="113"/>
      <c r="AI63" s="113"/>
      <c r="AJ63" s="113"/>
      <c r="AK63" s="113"/>
      <c r="AL63" s="699"/>
      <c r="AM63" s="117"/>
      <c r="AN63" s="117"/>
      <c r="AO63" s="117"/>
      <c r="AP63" s="117"/>
      <c r="AQ63" s="704"/>
    </row>
    <row r="64" spans="2:43" ht="15.75" customHeight="1" outlineLevel="1">
      <c r="B64" s="778" t="s">
        <v>127</v>
      </c>
      <c r="C64" s="779"/>
      <c r="D64" s="122"/>
      <c r="E64" s="113"/>
      <c r="F64" s="112"/>
      <c r="G64" s="113"/>
      <c r="H64" s="698"/>
      <c r="I64" s="113"/>
      <c r="J64" s="112"/>
      <c r="K64" s="113"/>
      <c r="L64" s="112"/>
      <c r="M64" s="712"/>
      <c r="N64" s="112"/>
      <c r="O64" s="113"/>
      <c r="P64" s="112"/>
      <c r="Q64" s="113"/>
      <c r="R64" s="700"/>
      <c r="S64" s="113"/>
      <c r="T64" s="112"/>
      <c r="U64" s="113"/>
      <c r="V64" s="114"/>
      <c r="W64" s="698"/>
      <c r="X64" s="113"/>
      <c r="Y64" s="112"/>
      <c r="Z64" s="113"/>
      <c r="AA64" s="114"/>
      <c r="AB64" s="699"/>
      <c r="AC64" s="113"/>
      <c r="AD64" s="113"/>
      <c r="AE64" s="113"/>
      <c r="AF64" s="113"/>
      <c r="AG64" s="699"/>
      <c r="AH64" s="113"/>
      <c r="AI64" s="113"/>
      <c r="AJ64" s="113"/>
      <c r="AK64" s="113"/>
      <c r="AL64" s="699"/>
      <c r="AM64" s="117"/>
      <c r="AN64" s="117"/>
      <c r="AO64" s="117"/>
      <c r="AP64" s="117"/>
      <c r="AQ64" s="704"/>
    </row>
    <row r="65" spans="2:51" ht="15.75" customHeight="1" outlineLevel="1">
      <c r="B65" s="738" t="s">
        <v>128</v>
      </c>
      <c r="C65" s="736"/>
      <c r="D65" s="122">
        <v>0</v>
      </c>
      <c r="E65" s="113">
        <v>0</v>
      </c>
      <c r="F65" s="112">
        <v>0</v>
      </c>
      <c r="G65" s="113">
        <v>0</v>
      </c>
      <c r="H65" s="698">
        <v>0</v>
      </c>
      <c r="I65" s="113">
        <v>0</v>
      </c>
      <c r="J65" s="112">
        <v>0</v>
      </c>
      <c r="K65" s="113">
        <v>0</v>
      </c>
      <c r="L65" s="112">
        <v>0</v>
      </c>
      <c r="M65" s="712">
        <v>0</v>
      </c>
      <c r="N65" s="112">
        <v>0</v>
      </c>
      <c r="O65" s="113">
        <v>0</v>
      </c>
      <c r="P65" s="112">
        <v>0</v>
      </c>
      <c r="Q65" s="113">
        <v>0</v>
      </c>
      <c r="R65" s="700">
        <v>0</v>
      </c>
      <c r="S65" s="113">
        <v>0</v>
      </c>
      <c r="T65" s="112">
        <v>0</v>
      </c>
      <c r="U65" s="113">
        <v>0</v>
      </c>
      <c r="V65" s="114">
        <v>0</v>
      </c>
      <c r="W65" s="698">
        <v>0</v>
      </c>
      <c r="X65" s="113">
        <v>0</v>
      </c>
      <c r="Y65" s="112">
        <v>0</v>
      </c>
      <c r="Z65" s="113">
        <v>0</v>
      </c>
      <c r="AA65" s="113">
        <v>0</v>
      </c>
      <c r="AB65" s="699">
        <v>0</v>
      </c>
      <c r="AC65" s="113">
        <v>0</v>
      </c>
      <c r="AD65" s="113">
        <v>0</v>
      </c>
      <c r="AE65" s="113">
        <v>0</v>
      </c>
      <c r="AF65" s="113">
        <v>0</v>
      </c>
      <c r="AG65" s="699">
        <v>0</v>
      </c>
      <c r="AH65" s="113">
        <v>0</v>
      </c>
      <c r="AI65" s="113">
        <v>0</v>
      </c>
      <c r="AJ65" s="113">
        <v>0</v>
      </c>
      <c r="AK65" s="113">
        <v>0</v>
      </c>
      <c r="AL65" s="699">
        <v>0</v>
      </c>
      <c r="AM65" s="113">
        <v>0</v>
      </c>
      <c r="AN65" s="113">
        <v>0</v>
      </c>
      <c r="AO65" s="113">
        <v>0</v>
      </c>
      <c r="AP65" s="113">
        <v>0</v>
      </c>
      <c r="AQ65" s="699">
        <v>0</v>
      </c>
    </row>
    <row r="66" spans="2:51" ht="15.75" customHeight="1" outlineLevel="1">
      <c r="B66" s="738" t="s">
        <v>129</v>
      </c>
      <c r="C66" s="736"/>
      <c r="D66" s="112">
        <v>0</v>
      </c>
      <c r="E66" s="113">
        <v>0</v>
      </c>
      <c r="F66" s="112">
        <v>0</v>
      </c>
      <c r="G66" s="113">
        <v>0</v>
      </c>
      <c r="H66" s="698">
        <v>0</v>
      </c>
      <c r="I66" s="113">
        <v>0</v>
      </c>
      <c r="J66" s="112">
        <v>0</v>
      </c>
      <c r="K66" s="113">
        <v>0</v>
      </c>
      <c r="L66" s="112">
        <v>0</v>
      </c>
      <c r="M66" s="712">
        <v>0</v>
      </c>
      <c r="N66" s="112">
        <v>0</v>
      </c>
      <c r="O66" s="113">
        <v>0</v>
      </c>
      <c r="P66" s="112">
        <v>0</v>
      </c>
      <c r="Q66" s="113">
        <v>0</v>
      </c>
      <c r="R66" s="700">
        <v>0</v>
      </c>
      <c r="S66" s="113">
        <v>0</v>
      </c>
      <c r="T66" s="112">
        <v>0</v>
      </c>
      <c r="U66" s="113">
        <v>0</v>
      </c>
      <c r="V66" s="114">
        <v>0</v>
      </c>
      <c r="W66" s="698">
        <v>0</v>
      </c>
      <c r="X66" s="113">
        <v>0</v>
      </c>
      <c r="Y66" s="112">
        <v>0</v>
      </c>
      <c r="Z66" s="113">
        <v>0</v>
      </c>
      <c r="AA66" s="113">
        <v>0</v>
      </c>
      <c r="AB66" s="699">
        <v>0</v>
      </c>
      <c r="AC66" s="113">
        <v>0</v>
      </c>
      <c r="AD66" s="113">
        <v>0</v>
      </c>
      <c r="AE66" s="113">
        <v>0</v>
      </c>
      <c r="AF66" s="113">
        <v>0</v>
      </c>
      <c r="AG66" s="699">
        <v>0</v>
      </c>
      <c r="AH66" s="113">
        <v>0</v>
      </c>
      <c r="AI66" s="113">
        <v>0</v>
      </c>
      <c r="AJ66" s="113">
        <v>0</v>
      </c>
      <c r="AK66" s="113">
        <v>0</v>
      </c>
      <c r="AL66" s="699">
        <v>0</v>
      </c>
      <c r="AM66" s="113">
        <v>0</v>
      </c>
      <c r="AN66" s="113">
        <v>0</v>
      </c>
      <c r="AO66" s="113">
        <v>0</v>
      </c>
      <c r="AP66" s="113">
        <v>0</v>
      </c>
      <c r="AQ66" s="699">
        <v>0</v>
      </c>
    </row>
    <row r="67" spans="2:51" ht="15.75" customHeight="1" outlineLevel="1">
      <c r="B67" s="738" t="s">
        <v>130</v>
      </c>
      <c r="C67" s="736"/>
      <c r="D67" s="112"/>
      <c r="E67" s="113"/>
      <c r="F67" s="112"/>
      <c r="G67" s="113"/>
      <c r="H67" s="700"/>
      <c r="I67" s="118"/>
      <c r="J67" s="123"/>
      <c r="K67" s="118"/>
      <c r="L67" s="123"/>
      <c r="M67" s="712"/>
      <c r="N67" s="112"/>
      <c r="O67" s="113"/>
      <c r="P67" s="112"/>
      <c r="Q67" s="113"/>
      <c r="R67" s="700"/>
      <c r="S67" s="118"/>
      <c r="T67" s="123"/>
      <c r="U67" s="118"/>
      <c r="V67" s="124"/>
      <c r="W67" s="700"/>
      <c r="X67" s="113"/>
      <c r="Y67" s="112"/>
      <c r="Z67" s="113"/>
      <c r="AA67" s="114"/>
      <c r="AB67" s="699"/>
      <c r="AC67" s="113"/>
      <c r="AD67" s="113"/>
      <c r="AE67" s="113"/>
      <c r="AF67" s="109"/>
      <c r="AG67" s="707"/>
      <c r="AH67" s="109"/>
      <c r="AI67" s="109"/>
      <c r="AJ67" s="109"/>
      <c r="AK67" s="109"/>
      <c r="AL67" s="707"/>
      <c r="AM67" s="68"/>
      <c r="AN67" s="68"/>
      <c r="AO67" s="68"/>
      <c r="AP67" s="68"/>
      <c r="AQ67" s="672"/>
    </row>
    <row r="68" spans="2:51" ht="15.75" customHeight="1" outlineLevel="1">
      <c r="B68" s="738" t="s">
        <v>131</v>
      </c>
      <c r="C68" s="736"/>
      <c r="D68" s="123"/>
      <c r="E68" s="118"/>
      <c r="F68" s="123"/>
      <c r="G68" s="118"/>
      <c r="H68" s="700"/>
      <c r="I68" s="118"/>
      <c r="J68" s="123"/>
      <c r="K68" s="118"/>
      <c r="L68" s="123"/>
      <c r="M68" s="713"/>
      <c r="N68" s="123"/>
      <c r="O68" s="118"/>
      <c r="P68" s="123"/>
      <c r="Q68" s="118"/>
      <c r="R68" s="700"/>
      <c r="S68" s="118"/>
      <c r="T68" s="123"/>
      <c r="U68" s="118"/>
      <c r="V68" s="124"/>
      <c r="W68" s="700"/>
      <c r="X68" s="118"/>
      <c r="Y68" s="123"/>
      <c r="Z68" s="118"/>
      <c r="AA68" s="124"/>
      <c r="AB68" s="707"/>
      <c r="AC68" s="109"/>
      <c r="AD68" s="109"/>
      <c r="AE68" s="109"/>
      <c r="AF68" s="109"/>
      <c r="AG68" s="707"/>
      <c r="AH68" s="109"/>
      <c r="AI68" s="109"/>
      <c r="AJ68" s="109"/>
      <c r="AK68" s="109"/>
      <c r="AL68" s="707"/>
      <c r="AM68" s="68"/>
      <c r="AN68" s="68"/>
      <c r="AO68" s="68"/>
      <c r="AP68" s="68"/>
      <c r="AQ68" s="672"/>
    </row>
    <row r="69" spans="2:51" ht="15.75" customHeight="1" outlineLevel="1">
      <c r="B69" s="738" t="s">
        <v>132</v>
      </c>
      <c r="C69" s="736"/>
      <c r="D69" s="123"/>
      <c r="E69" s="118"/>
      <c r="F69" s="123"/>
      <c r="G69" s="118"/>
      <c r="H69" s="700"/>
      <c r="I69" s="118"/>
      <c r="J69" s="123"/>
      <c r="K69" s="118"/>
      <c r="L69" s="123"/>
      <c r="M69" s="713"/>
      <c r="N69" s="123"/>
      <c r="O69" s="118"/>
      <c r="P69" s="123"/>
      <c r="Q69" s="118"/>
      <c r="R69" s="700"/>
      <c r="S69" s="118"/>
      <c r="T69" s="123"/>
      <c r="U69" s="118"/>
      <c r="V69" s="124"/>
      <c r="W69" s="700"/>
      <c r="X69" s="118"/>
      <c r="Y69" s="123"/>
      <c r="Z69" s="118"/>
      <c r="AA69" s="124"/>
      <c r="AB69" s="707"/>
      <c r="AC69" s="109"/>
      <c r="AD69" s="109"/>
      <c r="AE69" s="109"/>
      <c r="AF69" s="109"/>
      <c r="AG69" s="707"/>
      <c r="AH69" s="109"/>
      <c r="AI69" s="109"/>
      <c r="AJ69" s="109"/>
      <c r="AK69" s="109"/>
      <c r="AL69" s="707"/>
      <c r="AM69" s="68"/>
      <c r="AN69" s="68"/>
      <c r="AO69" s="68"/>
      <c r="AP69" s="68"/>
      <c r="AQ69" s="672"/>
    </row>
    <row r="70" spans="2:51" ht="15.75" customHeight="1" outlineLevel="1">
      <c r="B70" s="738" t="s">
        <v>133</v>
      </c>
      <c r="C70" s="736"/>
      <c r="D70" s="125"/>
      <c r="E70" s="118"/>
      <c r="F70" s="123"/>
      <c r="G70" s="118"/>
      <c r="H70" s="701"/>
      <c r="I70" s="126"/>
      <c r="J70" s="123"/>
      <c r="K70" s="118"/>
      <c r="L70" s="123"/>
      <c r="M70" s="714"/>
      <c r="N70" s="123"/>
      <c r="O70" s="118"/>
      <c r="P70" s="123"/>
      <c r="Q70" s="118"/>
      <c r="R70" s="701"/>
      <c r="S70" s="118"/>
      <c r="T70" s="123"/>
      <c r="U70" s="118"/>
      <c r="V70" s="124"/>
      <c r="W70" s="701"/>
      <c r="X70" s="118"/>
      <c r="Y70" s="123"/>
      <c r="Z70" s="118"/>
      <c r="AA70" s="124"/>
      <c r="AB70" s="708"/>
      <c r="AC70" s="127"/>
      <c r="AD70" s="127"/>
      <c r="AE70" s="127"/>
      <c r="AF70" s="127"/>
      <c r="AG70" s="708"/>
      <c r="AH70" s="127"/>
      <c r="AI70" s="127"/>
      <c r="AJ70" s="127"/>
      <c r="AK70" s="127"/>
      <c r="AL70" s="708"/>
      <c r="AM70" s="128"/>
      <c r="AN70" s="128"/>
      <c r="AO70" s="128"/>
      <c r="AP70" s="128"/>
      <c r="AQ70" s="705"/>
    </row>
    <row r="71" spans="2:51" ht="15.75" customHeight="1" outlineLevel="1">
      <c r="B71" s="129"/>
      <c r="C71" s="129"/>
      <c r="D71" s="123"/>
      <c r="E71" s="106"/>
      <c r="F71" s="106"/>
      <c r="G71" s="106"/>
      <c r="H71" s="106"/>
      <c r="I71" s="123"/>
      <c r="J71" s="106"/>
      <c r="K71" s="106"/>
      <c r="L71" s="106"/>
      <c r="M71" s="106"/>
      <c r="N71" s="106"/>
      <c r="O71" s="106"/>
      <c r="P71" s="106"/>
      <c r="Q71" s="106"/>
      <c r="R71" s="106"/>
      <c r="S71" s="106"/>
      <c r="T71" s="106"/>
      <c r="U71" s="106"/>
      <c r="V71" s="106"/>
      <c r="W71" s="106"/>
      <c r="X71" s="106"/>
      <c r="Y71" s="106"/>
      <c r="Z71" s="106"/>
      <c r="AA71" s="106"/>
      <c r="AB71" s="2"/>
      <c r="AC71" s="2"/>
      <c r="AD71" s="2"/>
      <c r="AE71" s="2"/>
      <c r="AF71" s="2"/>
      <c r="AG71" s="2"/>
      <c r="AH71" s="2"/>
      <c r="AI71" s="2"/>
      <c r="AJ71" s="2"/>
      <c r="AK71" s="2"/>
      <c r="AL71" s="2"/>
    </row>
    <row r="72" spans="2:51" ht="15.75" customHeight="1" outlineLevel="1">
      <c r="B72" s="93"/>
      <c r="C72" s="9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3"/>
      <c r="AB72" s="2"/>
      <c r="AC72" s="2"/>
      <c r="AD72" s="2"/>
      <c r="AE72" s="2"/>
      <c r="AF72" s="2"/>
      <c r="AG72" s="2"/>
      <c r="AH72" s="2"/>
      <c r="AI72" s="2"/>
      <c r="AJ72" s="2"/>
      <c r="AK72" s="2"/>
      <c r="AL72" s="2"/>
    </row>
    <row r="73" spans="2:51" ht="15.75" customHeight="1" outlineLevel="1">
      <c r="B73" s="93"/>
      <c r="C73" s="9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2"/>
      <c r="AC73" s="2"/>
      <c r="AD73" s="2"/>
      <c r="AE73" s="2"/>
      <c r="AF73" s="2"/>
      <c r="AG73" s="2"/>
      <c r="AH73" s="2"/>
      <c r="AI73" s="2"/>
      <c r="AJ73" s="2"/>
      <c r="AK73" s="2"/>
      <c r="AL73" s="2"/>
    </row>
    <row r="74" spans="2:51" ht="15.75" customHeight="1" outlineLevel="1">
      <c r="B74" s="93"/>
      <c r="C74" s="9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2"/>
      <c r="AC74" s="2"/>
      <c r="AD74" s="2"/>
      <c r="AE74" s="2"/>
      <c r="AF74" s="2"/>
      <c r="AG74" s="2"/>
      <c r="AH74" s="2"/>
      <c r="AI74" s="2"/>
      <c r="AJ74" s="2"/>
      <c r="AK74" s="2"/>
      <c r="AL74" s="2"/>
    </row>
    <row r="75" spans="2:51" ht="15.75" customHeight="1" outlineLevel="1">
      <c r="B75" s="93"/>
      <c r="C75" s="9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2"/>
      <c r="AC75" s="2"/>
      <c r="AD75" s="2"/>
      <c r="AE75" s="2"/>
      <c r="AF75" s="2"/>
      <c r="AG75" s="2"/>
      <c r="AH75" s="2"/>
      <c r="AI75" s="2"/>
      <c r="AJ75" s="2"/>
      <c r="AK75" s="2"/>
      <c r="AL75" s="2"/>
    </row>
    <row r="76" spans="2:51" ht="15.75" customHeight="1" outlineLevel="1">
      <c r="B76" s="93"/>
      <c r="C76" s="9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2"/>
      <c r="AC76" s="2"/>
      <c r="AD76" s="2"/>
      <c r="AE76" s="2"/>
      <c r="AF76" s="2"/>
      <c r="AG76" s="2"/>
      <c r="AH76" s="2"/>
      <c r="AI76" s="2"/>
      <c r="AJ76" s="2"/>
      <c r="AK76" s="2"/>
      <c r="AL76" s="2"/>
    </row>
    <row r="77" spans="2:51" ht="15.75" customHeight="1" outlineLevel="1">
      <c r="B77" s="500"/>
      <c r="C77" s="500"/>
      <c r="D77" s="501"/>
      <c r="E77" s="501"/>
      <c r="F77" s="501"/>
      <c r="G77" s="501"/>
      <c r="H77" s="501"/>
      <c r="I77" s="501"/>
      <c r="J77" s="502"/>
      <c r="K77" s="501"/>
      <c r="L77" s="501"/>
      <c r="M77" s="501"/>
      <c r="N77" s="501"/>
      <c r="O77" s="501"/>
      <c r="P77" s="501"/>
      <c r="Q77" s="501"/>
      <c r="R77" s="501"/>
      <c r="S77" s="501"/>
      <c r="T77" s="501"/>
      <c r="U77" s="501"/>
      <c r="V77" s="501"/>
      <c r="W77" s="501"/>
      <c r="X77" s="501"/>
      <c r="Y77" s="501"/>
      <c r="Z77" s="501"/>
      <c r="AA77" s="2"/>
      <c r="AB77" s="2"/>
      <c r="AC77" s="2"/>
      <c r="AD77" s="2"/>
      <c r="AE77" s="2"/>
      <c r="AF77" s="2"/>
      <c r="AG77" s="2"/>
      <c r="AH77" s="2"/>
      <c r="AI77" s="2"/>
      <c r="AJ77" s="2"/>
      <c r="AK77" s="2"/>
      <c r="AL77" s="2"/>
    </row>
    <row r="78" spans="2:51" ht="15.75" customHeight="1" outlineLevel="1">
      <c r="B78" s="747" t="s">
        <v>134</v>
      </c>
      <c r="C78" s="740"/>
      <c r="D78" s="503" t="s">
        <v>9</v>
      </c>
      <c r="E78" s="503" t="s">
        <v>10</v>
      </c>
      <c r="F78" s="503" t="s">
        <v>11</v>
      </c>
      <c r="G78" s="503" t="s">
        <v>12</v>
      </c>
      <c r="H78" s="503" t="s">
        <v>12</v>
      </c>
      <c r="I78" s="503" t="s">
        <v>13</v>
      </c>
      <c r="J78" s="504" t="s">
        <v>14</v>
      </c>
      <c r="K78" s="503" t="s">
        <v>15</v>
      </c>
      <c r="L78" s="503" t="s">
        <v>16</v>
      </c>
      <c r="M78" s="503" t="s">
        <v>16</v>
      </c>
      <c r="N78" s="503" t="s">
        <v>17</v>
      </c>
      <c r="O78" s="503" t="s">
        <v>18</v>
      </c>
      <c r="P78" s="503" t="s">
        <v>19</v>
      </c>
      <c r="Q78" s="503" t="s">
        <v>20</v>
      </c>
      <c r="R78" s="503" t="s">
        <v>20</v>
      </c>
      <c r="S78" s="503" t="s">
        <v>21</v>
      </c>
      <c r="T78" s="503" t="s">
        <v>22</v>
      </c>
      <c r="U78" s="505" t="s">
        <v>23</v>
      </c>
      <c r="V78" s="503" t="s">
        <v>24</v>
      </c>
      <c r="W78" s="505" t="s">
        <v>24</v>
      </c>
      <c r="X78" s="503" t="s">
        <v>25</v>
      </c>
      <c r="Y78" s="505" t="s">
        <v>26</v>
      </c>
      <c r="Z78" s="503" t="s">
        <v>27</v>
      </c>
      <c r="AA78" s="475" t="s">
        <v>28</v>
      </c>
      <c r="AB78" s="475" t="s">
        <v>28</v>
      </c>
      <c r="AC78" s="476" t="s">
        <v>29</v>
      </c>
      <c r="AD78" s="476" t="s">
        <v>30</v>
      </c>
      <c r="AE78" s="476" t="s">
        <v>31</v>
      </c>
      <c r="AF78" s="476" t="s">
        <v>32</v>
      </c>
      <c r="AG78" s="476" t="s">
        <v>32</v>
      </c>
      <c r="AH78" s="476" t="s">
        <v>33</v>
      </c>
      <c r="AI78" s="476" t="s">
        <v>34</v>
      </c>
      <c r="AJ78" s="476" t="s">
        <v>35</v>
      </c>
      <c r="AK78" s="476" t="s">
        <v>36</v>
      </c>
      <c r="AL78" s="476" t="s">
        <v>36</v>
      </c>
      <c r="AM78" s="476" t="s">
        <v>37</v>
      </c>
      <c r="AN78" s="476" t="s">
        <v>38</v>
      </c>
      <c r="AO78" s="476" t="s">
        <v>39</v>
      </c>
      <c r="AP78" s="476" t="s">
        <v>40</v>
      </c>
      <c r="AQ78" s="476" t="s">
        <v>40</v>
      </c>
      <c r="AR78" s="130"/>
      <c r="AS78" s="130"/>
      <c r="AT78" s="130"/>
      <c r="AU78" s="130"/>
      <c r="AV78" s="130"/>
      <c r="AW78" s="130"/>
      <c r="AX78" s="130"/>
      <c r="AY78" s="130"/>
    </row>
    <row r="79" spans="2:51" ht="15.75" customHeight="1" outlineLevel="1">
      <c r="B79" s="507" t="s">
        <v>41</v>
      </c>
      <c r="C79" s="508"/>
      <c r="D79" s="509" t="s">
        <v>42</v>
      </c>
      <c r="E79" s="509" t="s">
        <v>43</v>
      </c>
      <c r="F79" s="509" t="s">
        <v>44</v>
      </c>
      <c r="G79" s="509" t="s">
        <v>45</v>
      </c>
      <c r="H79" s="509" t="s">
        <v>46</v>
      </c>
      <c r="I79" s="509" t="s">
        <v>47</v>
      </c>
      <c r="J79" s="510" t="s">
        <v>48</v>
      </c>
      <c r="K79" s="509" t="s">
        <v>49</v>
      </c>
      <c r="L79" s="509" t="s">
        <v>50</v>
      </c>
      <c r="M79" s="509" t="s">
        <v>51</v>
      </c>
      <c r="N79" s="509" t="s">
        <v>52</v>
      </c>
      <c r="O79" s="509" t="s">
        <v>53</v>
      </c>
      <c r="P79" s="509" t="s">
        <v>54</v>
      </c>
      <c r="Q79" s="509" t="s">
        <v>55</v>
      </c>
      <c r="R79" s="509" t="s">
        <v>56</v>
      </c>
      <c r="S79" s="509" t="s">
        <v>57</v>
      </c>
      <c r="T79" s="509" t="s">
        <v>58</v>
      </c>
      <c r="U79" s="511" t="s">
        <v>59</v>
      </c>
      <c r="V79" s="512" t="s">
        <v>60</v>
      </c>
      <c r="W79" s="511" t="s">
        <v>61</v>
      </c>
      <c r="X79" s="512" t="s">
        <v>62</v>
      </c>
      <c r="Y79" s="511" t="s">
        <v>63</v>
      </c>
      <c r="Z79" s="512" t="s">
        <v>64</v>
      </c>
      <c r="AA79" s="477" t="s">
        <v>65</v>
      </c>
      <c r="AB79" s="479" t="s">
        <v>135</v>
      </c>
      <c r="AC79" s="479" t="s">
        <v>136</v>
      </c>
      <c r="AD79" s="479" t="s">
        <v>68</v>
      </c>
      <c r="AE79" s="479" t="s">
        <v>69</v>
      </c>
      <c r="AF79" s="479" t="s">
        <v>70</v>
      </c>
      <c r="AG79" s="479" t="s">
        <v>71</v>
      </c>
      <c r="AH79" s="479" t="s">
        <v>72</v>
      </c>
      <c r="AI79" s="479" t="s">
        <v>73</v>
      </c>
      <c r="AJ79" s="479" t="s">
        <v>74</v>
      </c>
      <c r="AK79" s="479" t="s">
        <v>75</v>
      </c>
      <c r="AL79" s="479" t="s">
        <v>76</v>
      </c>
      <c r="AM79" s="479" t="s">
        <v>77</v>
      </c>
      <c r="AN79" s="479" t="s">
        <v>78</v>
      </c>
      <c r="AO79" s="479" t="s">
        <v>79</v>
      </c>
      <c r="AP79" s="479" t="s">
        <v>80</v>
      </c>
      <c r="AQ79" s="479" t="s">
        <v>81</v>
      </c>
      <c r="AR79" s="130"/>
      <c r="AS79" s="130"/>
      <c r="AT79" s="130"/>
      <c r="AU79" s="130"/>
      <c r="AV79" s="130"/>
      <c r="AW79" s="130"/>
      <c r="AX79" s="130"/>
      <c r="AY79" s="130"/>
    </row>
    <row r="80" spans="2:51" ht="15.75" customHeight="1" outlineLevel="1">
      <c r="B80" s="777" t="s">
        <v>137</v>
      </c>
      <c r="C80" s="742"/>
      <c r="D80" s="133"/>
      <c r="E80" s="132"/>
      <c r="F80" s="131"/>
      <c r="G80" s="131"/>
      <c r="H80" s="673"/>
      <c r="I80" s="133"/>
      <c r="J80" s="132"/>
      <c r="K80" s="131"/>
      <c r="L80" s="131"/>
      <c r="M80" s="673"/>
      <c r="N80" s="133"/>
      <c r="O80" s="132"/>
      <c r="P80" s="132"/>
      <c r="Q80" s="132"/>
      <c r="R80" s="673"/>
      <c r="S80" s="132"/>
      <c r="T80" s="132"/>
      <c r="U80" s="131"/>
      <c r="V80" s="132"/>
      <c r="W80" s="673"/>
      <c r="X80" s="133"/>
      <c r="Y80" s="132"/>
      <c r="Z80" s="131"/>
      <c r="AA80" s="131"/>
      <c r="AB80" s="673"/>
      <c r="AC80" s="133"/>
      <c r="AD80" s="132"/>
      <c r="AE80" s="131"/>
      <c r="AF80" s="131"/>
      <c r="AG80" s="673"/>
      <c r="AH80" s="133"/>
      <c r="AI80" s="132"/>
      <c r="AJ80" s="131"/>
      <c r="AK80" s="131"/>
      <c r="AL80" s="673"/>
      <c r="AM80" s="65"/>
      <c r="AN80" s="65"/>
      <c r="AO80" s="65"/>
      <c r="AP80" s="65"/>
      <c r="AQ80" s="671"/>
    </row>
    <row r="81" spans="2:43" ht="15.75" customHeight="1" outlineLevel="1">
      <c r="B81" s="750" t="s">
        <v>138</v>
      </c>
      <c r="C81" s="732"/>
      <c r="D81" s="134">
        <v>36835</v>
      </c>
      <c r="E81" s="134">
        <v>40339</v>
      </c>
      <c r="F81" s="134">
        <v>40482</v>
      </c>
      <c r="G81" s="134">
        <v>43364</v>
      </c>
      <c r="H81" s="674">
        <v>43364</v>
      </c>
      <c r="I81" s="134">
        <v>48312</v>
      </c>
      <c r="J81" s="134">
        <v>51826</v>
      </c>
      <c r="K81" s="135">
        <f>48165.147438+22.697218</f>
        <v>48187.844656000001</v>
      </c>
      <c r="L81" s="134">
        <v>48962</v>
      </c>
      <c r="M81" s="674">
        <v>48962</v>
      </c>
      <c r="N81" s="134">
        <v>54413</v>
      </c>
      <c r="O81" s="134">
        <v>55624</v>
      </c>
      <c r="P81" s="134">
        <v>50491</v>
      </c>
      <c r="Q81" s="134">
        <v>50094</v>
      </c>
      <c r="R81" s="674">
        <v>50094</v>
      </c>
      <c r="S81" s="136">
        <v>56752.060821999999</v>
      </c>
      <c r="T81" s="136">
        <v>57663.203748</v>
      </c>
      <c r="U81" s="136">
        <v>48400.583608000001</v>
      </c>
      <c r="V81" s="137">
        <v>52013.459741999999</v>
      </c>
      <c r="W81" s="681">
        <v>52013.459741999999</v>
      </c>
      <c r="X81" s="136">
        <v>55288.755188000003</v>
      </c>
      <c r="Y81" s="136">
        <v>57752.836502999999</v>
      </c>
      <c r="Z81" s="136">
        <v>50520.972282000002</v>
      </c>
      <c r="AA81" s="33">
        <f t="shared" ref="AA81:AQ81" si="133">AA219</f>
        <v>60610.84045360321</v>
      </c>
      <c r="AB81" s="657">
        <f t="shared" si="133"/>
        <v>60610.840453603203</v>
      </c>
      <c r="AC81" s="33">
        <f t="shared" si="133"/>
        <v>49405.757003553284</v>
      </c>
      <c r="AD81" s="33">
        <f t="shared" si="133"/>
        <v>72110.995726215464</v>
      </c>
      <c r="AE81" s="33">
        <f t="shared" si="133"/>
        <v>65574.49260388095</v>
      </c>
      <c r="AF81" s="33">
        <f t="shared" si="133"/>
        <v>75820.367289514747</v>
      </c>
      <c r="AG81" s="657">
        <f t="shared" si="133"/>
        <v>75820.367289514747</v>
      </c>
      <c r="AH81" s="33">
        <f t="shared" si="133"/>
        <v>58496.885943296264</v>
      </c>
      <c r="AI81" s="33">
        <f t="shared" si="133"/>
        <v>82897.291691154503</v>
      </c>
      <c r="AJ81" s="33">
        <f t="shared" si="133"/>
        <v>66541.722533205655</v>
      </c>
      <c r="AK81" s="33">
        <f t="shared" si="133"/>
        <v>92598.022633840141</v>
      </c>
      <c r="AL81" s="657">
        <f t="shared" si="133"/>
        <v>92598.022633840126</v>
      </c>
      <c r="AM81" s="33">
        <f t="shared" si="133"/>
        <v>67407.069238056996</v>
      </c>
      <c r="AN81" s="33">
        <f t="shared" si="133"/>
        <v>82320.615275647899</v>
      </c>
      <c r="AO81" s="33">
        <f t="shared" si="133"/>
        <v>80004.259706952333</v>
      </c>
      <c r="AP81" s="33">
        <f t="shared" si="133"/>
        <v>93785.346528175884</v>
      </c>
      <c r="AQ81" s="657">
        <f t="shared" si="133"/>
        <v>93785.346528175869</v>
      </c>
    </row>
    <row r="82" spans="2:43" ht="15.75" customHeight="1" outlineLevel="1">
      <c r="B82" s="750" t="s">
        <v>139</v>
      </c>
      <c r="C82" s="732"/>
      <c r="D82" s="135"/>
      <c r="E82" s="135"/>
      <c r="F82" s="48"/>
      <c r="G82" s="48"/>
      <c r="H82" s="675">
        <f t="shared" ref="H82:H83" si="134">G82</f>
        <v>0</v>
      </c>
      <c r="I82" s="48"/>
      <c r="J82" s="48"/>
      <c r="K82" s="48"/>
      <c r="L82" s="48"/>
      <c r="M82" s="675">
        <f t="shared" ref="M82:M83" si="135">L82</f>
        <v>0</v>
      </c>
      <c r="N82" s="48"/>
      <c r="O82" s="48"/>
      <c r="P82" s="48"/>
      <c r="Q82" s="48"/>
      <c r="R82" s="675">
        <f t="shared" ref="R82:R83" si="136">Q82</f>
        <v>0</v>
      </c>
      <c r="S82" s="48"/>
      <c r="T82" s="48"/>
      <c r="U82" s="136"/>
      <c r="V82" s="138"/>
      <c r="W82" s="682"/>
      <c r="X82" s="136"/>
      <c r="Y82" s="136"/>
      <c r="Z82" s="136"/>
      <c r="AA82" s="33"/>
      <c r="AB82" s="657"/>
      <c r="AC82" s="33"/>
      <c r="AD82" s="33"/>
      <c r="AE82" s="33"/>
      <c r="AF82" s="33"/>
      <c r="AG82" s="657"/>
      <c r="AH82" s="33"/>
      <c r="AI82" s="33"/>
      <c r="AJ82" s="33"/>
      <c r="AK82" s="33"/>
      <c r="AL82" s="657"/>
      <c r="AM82" s="65"/>
      <c r="AN82" s="65"/>
      <c r="AO82" s="65"/>
      <c r="AP82" s="65"/>
      <c r="AQ82" s="671"/>
    </row>
    <row r="83" spans="2:43" ht="15.75" customHeight="1" outlineLevel="1">
      <c r="B83" s="750" t="s">
        <v>140</v>
      </c>
      <c r="C83" s="732"/>
      <c r="D83" s="135">
        <f>1684407750/1000000</f>
        <v>1684.4077500000001</v>
      </c>
      <c r="E83" s="48">
        <v>1687.9697980000001</v>
      </c>
      <c r="F83" s="48">
        <v>1921.5835750000001</v>
      </c>
      <c r="G83" s="135">
        <v>2916.1787589999999</v>
      </c>
      <c r="H83" s="675">
        <f t="shared" si="134"/>
        <v>2916.1787589999999</v>
      </c>
      <c r="I83" s="48">
        <f>(1592683999/1000000)</f>
        <v>1592.6839990000001</v>
      </c>
      <c r="J83" s="135">
        <v>2784.6067710000002</v>
      </c>
      <c r="K83" s="135">
        <v>2802.5513340000002</v>
      </c>
      <c r="L83" s="48">
        <v>3395.0804619999999</v>
      </c>
      <c r="M83" s="675">
        <f t="shared" si="135"/>
        <v>3395.0804619999999</v>
      </c>
      <c r="N83" s="48">
        <v>3843.2308200000002</v>
      </c>
      <c r="O83" s="48">
        <v>3991.9196339999999</v>
      </c>
      <c r="P83" s="134">
        <v>3792.674332</v>
      </c>
      <c r="Q83" s="48">
        <v>6122.294097</v>
      </c>
      <c r="R83" s="675">
        <f t="shared" si="136"/>
        <v>6122.294097</v>
      </c>
      <c r="S83" s="139">
        <v>4923.468237</v>
      </c>
      <c r="T83" s="48">
        <v>4938.7823930000004</v>
      </c>
      <c r="U83" s="136">
        <v>4501.2906389999998</v>
      </c>
      <c r="V83" s="137">
        <v>4503.3862120000003</v>
      </c>
      <c r="W83" s="681">
        <v>4503.3862120000003</v>
      </c>
      <c r="X83" s="136">
        <v>5276.9241089999996</v>
      </c>
      <c r="Y83" s="136">
        <v>4647.246897</v>
      </c>
      <c r="Z83" s="136">
        <v>7895.2153269999999</v>
      </c>
      <c r="AA83" s="48">
        <f>(AA17/AA139*2)-Z83</f>
        <v>4100.8937237704795</v>
      </c>
      <c r="AB83" s="655">
        <f>AA83</f>
        <v>4100.8937237704795</v>
      </c>
      <c r="AC83" s="48">
        <f>(AC17/AC139*2)-AA83</f>
        <v>9595.3854159382281</v>
      </c>
      <c r="AD83" s="48">
        <f t="shared" ref="AD83:AF83" si="137">(AD17/AD139*2)-AC83</f>
        <v>2866.7752920233797</v>
      </c>
      <c r="AE83" s="48">
        <f t="shared" si="137"/>
        <v>12695.315279730912</v>
      </c>
      <c r="AF83" s="48">
        <f t="shared" si="137"/>
        <v>2402.207786911611</v>
      </c>
      <c r="AG83" s="655">
        <f>AF83</f>
        <v>2402.207786911611</v>
      </c>
      <c r="AH83" s="48">
        <f>(AH17/AH139*2)-AF83</f>
        <v>15214.607058871341</v>
      </c>
      <c r="AI83" s="48">
        <f t="shared" ref="AI83:AK83" si="138">(AI17/AI139*2)-AH83</f>
        <v>814.82513443457901</v>
      </c>
      <c r="AJ83" s="48">
        <f t="shared" si="138"/>
        <v>19201.886369426509</v>
      </c>
      <c r="AK83" s="48">
        <f t="shared" si="138"/>
        <v>217.27600175127736</v>
      </c>
      <c r="AL83" s="655">
        <f>AK83</f>
        <v>217.27600175127736</v>
      </c>
      <c r="AM83" s="48">
        <f>(AM17/AM139*2)-AK83</f>
        <v>22442.320969430144</v>
      </c>
      <c r="AN83" s="48">
        <f>(AN140/90)*AN17</f>
        <v>10308.91441945702</v>
      </c>
      <c r="AO83" s="48">
        <f t="shared" ref="AO83:AP83" si="139">(AO17/AO139*2)-AN83</f>
        <v>15437.545388200944</v>
      </c>
      <c r="AP83" s="48">
        <f t="shared" si="139"/>
        <v>9540.3179032528551</v>
      </c>
      <c r="AQ83" s="693">
        <f>AP83</f>
        <v>9540.3179032528551</v>
      </c>
    </row>
    <row r="84" spans="2:43" ht="15.75" customHeight="1" outlineLevel="1">
      <c r="B84" s="34" t="s">
        <v>141</v>
      </c>
      <c r="C84" s="93"/>
      <c r="D84" s="135">
        <f>4327076045/1000000</f>
        <v>4327.0760449999998</v>
      </c>
      <c r="E84" s="48">
        <v>2743.8296180000002</v>
      </c>
      <c r="F84" s="48">
        <v>1295.788869</v>
      </c>
      <c r="G84" s="135"/>
      <c r="H84" s="675"/>
      <c r="I84" s="48"/>
      <c r="J84" s="135"/>
      <c r="K84" s="135"/>
      <c r="L84" s="48"/>
      <c r="M84" s="675"/>
      <c r="N84" s="48"/>
      <c r="O84" s="48"/>
      <c r="P84" s="139"/>
      <c r="Q84" s="48"/>
      <c r="R84" s="675"/>
      <c r="S84" s="139"/>
      <c r="T84" s="48"/>
      <c r="U84" s="48"/>
      <c r="V84" s="134"/>
      <c r="W84" s="674"/>
      <c r="X84" s="48"/>
      <c r="Y84" s="48"/>
      <c r="Z84" s="48"/>
      <c r="AA84" s="33" t="s">
        <v>84</v>
      </c>
      <c r="AB84" s="657"/>
      <c r="AC84" s="33"/>
      <c r="AD84" s="33"/>
      <c r="AE84" s="33"/>
      <c r="AF84" s="33"/>
      <c r="AG84" s="657"/>
      <c r="AH84" s="33"/>
      <c r="AI84" s="33"/>
      <c r="AJ84" s="33"/>
      <c r="AK84" s="33"/>
      <c r="AL84" s="657"/>
      <c r="AM84" s="65"/>
      <c r="AN84" s="65"/>
      <c r="AO84" s="65"/>
      <c r="AP84" s="65"/>
      <c r="AQ84" s="671"/>
    </row>
    <row r="85" spans="2:43" ht="15.75" customHeight="1" outlineLevel="1">
      <c r="B85" s="750" t="s">
        <v>142</v>
      </c>
      <c r="C85" s="732"/>
      <c r="D85" s="135">
        <f>6361300694/1000000</f>
        <v>6361.3006939999996</v>
      </c>
      <c r="E85" s="48">
        <v>6533.9519870000004</v>
      </c>
      <c r="F85" s="48">
        <v>7225.2143429999996</v>
      </c>
      <c r="G85" s="135">
        <v>7245.3969280000001</v>
      </c>
      <c r="H85" s="675">
        <f t="shared" ref="H85:H88" si="140">G85</f>
        <v>7245.3969280000001</v>
      </c>
      <c r="I85" s="48">
        <f>(6520934488/1000000)</f>
        <v>6520.9344879999999</v>
      </c>
      <c r="J85" s="135">
        <v>6471.856667</v>
      </c>
      <c r="K85" s="135">
        <v>7067.2498230000001</v>
      </c>
      <c r="L85" s="48">
        <v>8214.1111450000008</v>
      </c>
      <c r="M85" s="675">
        <f t="shared" ref="M85:M88" si="141">L85</f>
        <v>8214.1111450000008</v>
      </c>
      <c r="N85" s="48">
        <v>8379.171891</v>
      </c>
      <c r="O85" s="48">
        <v>9439.0331100000003</v>
      </c>
      <c r="P85" s="134">
        <v>11264.559965</v>
      </c>
      <c r="Q85" s="48">
        <v>12227.198104999999</v>
      </c>
      <c r="R85" s="675">
        <f t="shared" ref="R85:R88" si="142">Q85</f>
        <v>12227.198104999999</v>
      </c>
      <c r="S85" s="139">
        <v>11320.185396999999</v>
      </c>
      <c r="T85" s="48">
        <v>12260.09979</v>
      </c>
      <c r="U85" s="136">
        <v>13037.308870999999</v>
      </c>
      <c r="V85" s="137">
        <v>12582.152295</v>
      </c>
      <c r="W85" s="681">
        <v>12582.152295</v>
      </c>
      <c r="X85" s="136">
        <v>14013.883469</v>
      </c>
      <c r="Y85" s="136">
        <v>14592.316387999999</v>
      </c>
      <c r="Z85" s="136">
        <v>13850.961077</v>
      </c>
      <c r="AA85" s="48">
        <f>(AA18/AA137*2)-Z85</f>
        <v>9210.7046738225254</v>
      </c>
      <c r="AB85" s="655">
        <f>AA85</f>
        <v>9210.7046738225254</v>
      </c>
      <c r="AC85" s="48">
        <f>(AC18/AC137*2)-AB85</f>
        <v>19851.104310458009</v>
      </c>
      <c r="AD85" s="48">
        <f>(AD138/90)*AD18</f>
        <v>12790.443894789834</v>
      </c>
      <c r="AE85" s="48">
        <f>(AE18/AE137*2)-AD85</f>
        <v>14461.400044890921</v>
      </c>
      <c r="AF85" s="48">
        <f>(AF138/90)*AF18</f>
        <v>11590.661425892989</v>
      </c>
      <c r="AG85" s="655">
        <f>AF85</f>
        <v>11590.661425892989</v>
      </c>
      <c r="AH85" s="48">
        <f>(AH18/AH137*2)-AG85</f>
        <v>18265.205110212592</v>
      </c>
      <c r="AI85" s="48">
        <f>(AI138/90)*AI18</f>
        <v>13139.91796129911</v>
      </c>
      <c r="AJ85" s="48">
        <f t="shared" ref="AJ85:AK85" si="143">(AJ18/AJ137*2)-AI85</f>
        <v>14856.529746618027</v>
      </c>
      <c r="AK85" s="48">
        <f t="shared" si="143"/>
        <v>8958.1777813149747</v>
      </c>
      <c r="AL85" s="655">
        <f>AK85</f>
        <v>8958.1777813149747</v>
      </c>
      <c r="AM85" s="48">
        <f>(AM138/90)*AM18</f>
        <v>15335.81008504823</v>
      </c>
      <c r="AN85" s="48">
        <f t="shared" ref="AN85:AP85" si="144">(AN18/AN137*2)-AM85</f>
        <v>17781.166088501537</v>
      </c>
      <c r="AO85" s="48">
        <f t="shared" si="144"/>
        <v>17499.027228453451</v>
      </c>
      <c r="AP85" s="48">
        <f t="shared" si="144"/>
        <v>12511.476037452761</v>
      </c>
      <c r="AQ85" s="655">
        <f>AP85</f>
        <v>12511.476037452761</v>
      </c>
    </row>
    <row r="86" spans="2:43" ht="15.75" customHeight="1" outlineLevel="1">
      <c r="B86" s="750" t="s">
        <v>143</v>
      </c>
      <c r="C86" s="732"/>
      <c r="D86" s="48"/>
      <c r="E86" s="48"/>
      <c r="F86" s="48"/>
      <c r="G86" s="48"/>
      <c r="H86" s="675">
        <f t="shared" si="140"/>
        <v>0</v>
      </c>
      <c r="I86" s="48"/>
      <c r="J86" s="48"/>
      <c r="K86" s="48"/>
      <c r="L86" s="48"/>
      <c r="M86" s="675">
        <f t="shared" si="141"/>
        <v>0</v>
      </c>
      <c r="N86" s="48"/>
      <c r="O86" s="48"/>
      <c r="P86" s="48"/>
      <c r="Q86" s="48"/>
      <c r="R86" s="675">
        <f t="shared" si="142"/>
        <v>0</v>
      </c>
      <c r="S86" s="48"/>
      <c r="T86" s="48"/>
      <c r="U86" s="48"/>
      <c r="V86" s="134"/>
      <c r="W86" s="674"/>
      <c r="X86" s="48"/>
      <c r="Y86" s="48"/>
      <c r="Z86" s="48"/>
      <c r="AA86" s="48" t="s">
        <v>84</v>
      </c>
      <c r="AB86" s="655"/>
      <c r="AC86" s="48"/>
      <c r="AD86" s="48"/>
      <c r="AE86" s="48"/>
      <c r="AF86" s="48"/>
      <c r="AG86" s="655"/>
      <c r="AH86" s="48"/>
      <c r="AI86" s="48"/>
      <c r="AJ86" s="48"/>
      <c r="AK86" s="48"/>
      <c r="AL86" s="655"/>
      <c r="AM86" s="140"/>
      <c r="AN86" s="140"/>
      <c r="AO86" s="140"/>
      <c r="AP86" s="140"/>
      <c r="AQ86" s="693"/>
    </row>
    <row r="87" spans="2:43" ht="15.75" customHeight="1" outlineLevel="1">
      <c r="B87" s="750" t="s">
        <v>144</v>
      </c>
      <c r="C87" s="732"/>
      <c r="D87" s="48"/>
      <c r="E87" s="48"/>
      <c r="F87" s="48"/>
      <c r="G87" s="48"/>
      <c r="H87" s="675">
        <f t="shared" si="140"/>
        <v>0</v>
      </c>
      <c r="I87" s="48"/>
      <c r="J87" s="48"/>
      <c r="K87" s="48"/>
      <c r="L87" s="48"/>
      <c r="M87" s="675">
        <f t="shared" si="141"/>
        <v>0</v>
      </c>
      <c r="N87" s="48"/>
      <c r="O87" s="48"/>
      <c r="P87" s="48"/>
      <c r="Q87" s="48"/>
      <c r="R87" s="675">
        <f t="shared" si="142"/>
        <v>0</v>
      </c>
      <c r="S87" s="48"/>
      <c r="T87" s="48"/>
      <c r="U87" s="48"/>
      <c r="V87" s="134"/>
      <c r="W87" s="674"/>
      <c r="X87" s="48"/>
      <c r="Y87" s="48"/>
      <c r="Z87" s="48"/>
      <c r="AA87" s="48" t="s">
        <v>84</v>
      </c>
      <c r="AB87" s="655"/>
      <c r="AC87" s="48"/>
      <c r="AD87" s="48"/>
      <c r="AE87" s="48"/>
      <c r="AF87" s="48"/>
      <c r="AG87" s="655"/>
      <c r="AH87" s="48"/>
      <c r="AI87" s="48"/>
      <c r="AJ87" s="48"/>
      <c r="AK87" s="48"/>
      <c r="AL87" s="655"/>
      <c r="AM87" s="140"/>
      <c r="AN87" s="140"/>
      <c r="AO87" s="140"/>
      <c r="AP87" s="140"/>
      <c r="AQ87" s="693"/>
    </row>
    <row r="88" spans="2:43" ht="15.75" customHeight="1" outlineLevel="1">
      <c r="B88" s="750" t="s">
        <v>145</v>
      </c>
      <c r="C88" s="732"/>
      <c r="D88" s="135">
        <f>1849592140/1000000</f>
        <v>1849.59214</v>
      </c>
      <c r="E88" s="48">
        <v>1569.3066960000001</v>
      </c>
      <c r="F88" s="48">
        <f>(1562632190/1000000)</f>
        <v>1562.63219</v>
      </c>
      <c r="G88" s="135">
        <v>1550.7650140000001</v>
      </c>
      <c r="H88" s="675">
        <f t="shared" si="140"/>
        <v>1550.7650140000001</v>
      </c>
      <c r="I88" s="48">
        <f>(2488876983/1000000)</f>
        <v>2488.8769830000001</v>
      </c>
      <c r="J88" s="135">
        <v>977.67648099999997</v>
      </c>
      <c r="K88" s="135">
        <v>1132.6770590000001</v>
      </c>
      <c r="L88" s="48">
        <v>1776.037947</v>
      </c>
      <c r="M88" s="675">
        <f t="shared" si="141"/>
        <v>1776.037947</v>
      </c>
      <c r="N88" s="48">
        <v>1516.10835</v>
      </c>
      <c r="O88" s="48">
        <v>2607.6903390000002</v>
      </c>
      <c r="P88" s="134">
        <v>1598.09872</v>
      </c>
      <c r="Q88" s="48">
        <v>2043.302498</v>
      </c>
      <c r="R88" s="675">
        <f t="shared" si="142"/>
        <v>2043.302498</v>
      </c>
      <c r="S88" s="139">
        <v>1806.957772</v>
      </c>
      <c r="T88" s="48">
        <v>3313.53559</v>
      </c>
      <c r="U88" s="136">
        <v>2117.4514210000002</v>
      </c>
      <c r="V88" s="137">
        <v>2106.522837</v>
      </c>
      <c r="W88" s="681">
        <v>2106.522837</v>
      </c>
      <c r="X88" s="136">
        <v>2574.179873</v>
      </c>
      <c r="Y88" s="136">
        <v>1991.084233</v>
      </c>
      <c r="Z88" s="48">
        <v>1970.416755</v>
      </c>
      <c r="AA88" s="48">
        <f>Z88*(V88/U88)</f>
        <v>1960.2470458824912</v>
      </c>
      <c r="AB88" s="655">
        <f>AA88</f>
        <v>1960.2470458824912</v>
      </c>
      <c r="AC88" s="48">
        <f>AA88*(X88/V88)</f>
        <v>2395.4302336473634</v>
      </c>
      <c r="AD88" s="48">
        <f t="shared" ref="AD88:AQ88" si="145">AC88*(Y88/X88)</f>
        <v>1852.824435266949</v>
      </c>
      <c r="AE88" s="48">
        <f t="shared" si="145"/>
        <v>1833.5920956104569</v>
      </c>
      <c r="AF88" s="48">
        <f t="shared" si="145"/>
        <v>1824.1285655195745</v>
      </c>
      <c r="AG88" s="655">
        <f t="shared" si="145"/>
        <v>1824.1285655195745</v>
      </c>
      <c r="AH88" s="48">
        <f t="shared" si="145"/>
        <v>2229.0928712703299</v>
      </c>
      <c r="AI88" s="48">
        <f t="shared" si="145"/>
        <v>1724.1653221018144</v>
      </c>
      <c r="AJ88" s="48">
        <f t="shared" si="145"/>
        <v>1706.2684655689234</v>
      </c>
      <c r="AK88" s="48">
        <f t="shared" si="145"/>
        <v>1697.4620778201481</v>
      </c>
      <c r="AL88" s="655">
        <f t="shared" si="145"/>
        <v>1697.4620778201481</v>
      </c>
      <c r="AM88" s="140">
        <f t="shared" si="145"/>
        <v>2074.3058841594629</v>
      </c>
      <c r="AN88" s="140">
        <f t="shared" si="145"/>
        <v>1604.4402272307841</v>
      </c>
      <c r="AO88" s="140">
        <f t="shared" si="145"/>
        <v>1587.7861186054324</v>
      </c>
      <c r="AP88" s="140">
        <f t="shared" si="145"/>
        <v>1579.5912415947387</v>
      </c>
      <c r="AQ88" s="693">
        <f t="shared" si="145"/>
        <v>1579.5912415947387</v>
      </c>
    </row>
    <row r="89" spans="2:43" ht="15.75" customHeight="1" outlineLevel="1">
      <c r="B89" s="744" t="s">
        <v>146</v>
      </c>
      <c r="C89" s="732"/>
      <c r="D89" s="42">
        <f t="shared" ref="D89:AQ89" si="146">SUM(D81:D88)</f>
        <v>51057.376628999999</v>
      </c>
      <c r="E89" s="42">
        <f t="shared" si="146"/>
        <v>52874.058099000002</v>
      </c>
      <c r="F89" s="42">
        <f t="shared" si="146"/>
        <v>52487.21897699999</v>
      </c>
      <c r="G89" s="42">
        <f t="shared" si="146"/>
        <v>55076.340701000001</v>
      </c>
      <c r="H89" s="676">
        <f t="shared" si="146"/>
        <v>55076.340701000001</v>
      </c>
      <c r="I89" s="42">
        <f t="shared" si="146"/>
        <v>58914.495470000002</v>
      </c>
      <c r="J89" s="42">
        <f t="shared" si="146"/>
        <v>62060.139919000001</v>
      </c>
      <c r="K89" s="42">
        <f t="shared" si="146"/>
        <v>59190.322872000004</v>
      </c>
      <c r="L89" s="42">
        <f t="shared" si="146"/>
        <v>62347.229553999998</v>
      </c>
      <c r="M89" s="676">
        <f t="shared" si="146"/>
        <v>62347.229553999998</v>
      </c>
      <c r="N89" s="42">
        <f t="shared" si="146"/>
        <v>68151.511060999997</v>
      </c>
      <c r="O89" s="42">
        <f t="shared" si="146"/>
        <v>71662.643082999988</v>
      </c>
      <c r="P89" s="42">
        <f t="shared" si="146"/>
        <v>67146.333016999997</v>
      </c>
      <c r="Q89" s="42">
        <f t="shared" si="146"/>
        <v>70486.794699999999</v>
      </c>
      <c r="R89" s="676">
        <f t="shared" si="146"/>
        <v>70486.794699999999</v>
      </c>
      <c r="S89" s="42">
        <f t="shared" si="146"/>
        <v>74802.672227999996</v>
      </c>
      <c r="T89" s="42">
        <f t="shared" si="146"/>
        <v>78175.621521000008</v>
      </c>
      <c r="U89" s="42">
        <f t="shared" si="146"/>
        <v>68056.634539000006</v>
      </c>
      <c r="V89" s="42">
        <f t="shared" si="146"/>
        <v>71205.521085999993</v>
      </c>
      <c r="W89" s="676">
        <f t="shared" si="146"/>
        <v>71205.521085999993</v>
      </c>
      <c r="X89" s="42">
        <f t="shared" si="146"/>
        <v>77153.742639000004</v>
      </c>
      <c r="Y89" s="42">
        <f t="shared" si="146"/>
        <v>78983.484020999997</v>
      </c>
      <c r="Z89" s="42">
        <f t="shared" si="146"/>
        <v>74237.565440999999</v>
      </c>
      <c r="AA89" s="42">
        <f t="shared" si="146"/>
        <v>75882.685897078714</v>
      </c>
      <c r="AB89" s="654">
        <f t="shared" si="146"/>
        <v>75882.6858970787</v>
      </c>
      <c r="AC89" s="42">
        <f t="shared" si="146"/>
        <v>81247.676963596881</v>
      </c>
      <c r="AD89" s="42">
        <f t="shared" si="146"/>
        <v>89621.039348295613</v>
      </c>
      <c r="AE89" s="42">
        <f t="shared" si="146"/>
        <v>94564.800024113239</v>
      </c>
      <c r="AF89" s="42">
        <f t="shared" si="146"/>
        <v>91637.365067838909</v>
      </c>
      <c r="AG89" s="654">
        <f t="shared" si="146"/>
        <v>91637.365067838909</v>
      </c>
      <c r="AH89" s="42">
        <f t="shared" si="146"/>
        <v>94205.790983650528</v>
      </c>
      <c r="AI89" s="42">
        <f t="shared" si="146"/>
        <v>98576.200108990015</v>
      </c>
      <c r="AJ89" s="42">
        <f t="shared" si="146"/>
        <v>102306.40711481913</v>
      </c>
      <c r="AK89" s="42">
        <f t="shared" si="146"/>
        <v>103470.93849472655</v>
      </c>
      <c r="AL89" s="654">
        <f t="shared" si="146"/>
        <v>103470.93849472652</v>
      </c>
      <c r="AM89" s="42">
        <f t="shared" si="146"/>
        <v>107259.50617669483</v>
      </c>
      <c r="AN89" s="42">
        <f t="shared" si="146"/>
        <v>112015.13601083725</v>
      </c>
      <c r="AO89" s="42">
        <f t="shared" si="146"/>
        <v>114528.61844221217</v>
      </c>
      <c r="AP89" s="42">
        <f t="shared" si="146"/>
        <v>117416.73171047623</v>
      </c>
      <c r="AQ89" s="654">
        <f t="shared" si="146"/>
        <v>117416.73171047623</v>
      </c>
    </row>
    <row r="90" spans="2:43" ht="15.75" customHeight="1" outlineLevel="1">
      <c r="B90" s="750" t="s">
        <v>147</v>
      </c>
      <c r="C90" s="732"/>
      <c r="D90" s="48">
        <v>3463.1527099999998</v>
      </c>
      <c r="E90" s="48">
        <v>3605.5012579999998</v>
      </c>
      <c r="F90" s="48">
        <f>(3339448354/1000000)</f>
        <v>3339.4483540000001</v>
      </c>
      <c r="G90" s="135">
        <v>4624.3317059999999</v>
      </c>
      <c r="H90" s="675">
        <f t="shared" ref="H90:H95" si="147">G90</f>
        <v>4624.3317059999999</v>
      </c>
      <c r="I90" s="48">
        <f>(4854952895/1000000)</f>
        <v>4854.9528950000004</v>
      </c>
      <c r="J90" s="135">
        <v>4254.0540879999999</v>
      </c>
      <c r="K90" s="135">
        <v>4290.5514940000003</v>
      </c>
      <c r="L90" s="48">
        <v>4346.7708650000004</v>
      </c>
      <c r="M90" s="675">
        <f t="shared" ref="M90:M92" si="148">L90</f>
        <v>4346.7708650000004</v>
      </c>
      <c r="N90" s="48">
        <v>4365.8976940000002</v>
      </c>
      <c r="O90" s="48">
        <v>4337.3633570000002</v>
      </c>
      <c r="P90" s="134">
        <v>4432.7550449999999</v>
      </c>
      <c r="Q90" s="48">
        <v>4589.8670309999998</v>
      </c>
      <c r="R90" s="675">
        <f t="shared" ref="R90:R92" si="149">Q90</f>
        <v>4589.8670309999998</v>
      </c>
      <c r="S90" s="139">
        <v>6587.9940740000002</v>
      </c>
      <c r="T90" s="48">
        <v>8366.7299860000003</v>
      </c>
      <c r="U90" s="136">
        <v>9320.9125199999999</v>
      </c>
      <c r="V90" s="137">
        <v>9292.4026470000008</v>
      </c>
      <c r="W90" s="681">
        <v>9292.4026470000008</v>
      </c>
      <c r="X90" s="136">
        <v>10163.923489999999</v>
      </c>
      <c r="Y90" s="136">
        <v>9830.5463739999996</v>
      </c>
      <c r="Z90" s="136">
        <v>9526.5959760000005</v>
      </c>
      <c r="AA90" s="141">
        <v>9569.5</v>
      </c>
      <c r="AB90" s="686">
        <f>AA90</f>
        <v>9569.5</v>
      </c>
      <c r="AC90" s="141">
        <v>9868.5</v>
      </c>
      <c r="AD90" s="141">
        <v>8740.5</v>
      </c>
      <c r="AE90" s="141">
        <v>6976.5</v>
      </c>
      <c r="AF90" s="141">
        <v>7286.2</v>
      </c>
      <c r="AG90" s="686">
        <f t="shared" ref="AG90:AG92" si="150">AF90</f>
        <v>7286.2</v>
      </c>
      <c r="AH90" s="141">
        <v>7555.5</v>
      </c>
      <c r="AI90" s="141">
        <v>7853.5</v>
      </c>
      <c r="AJ90" s="141">
        <v>7459.5</v>
      </c>
      <c r="AK90" s="141">
        <v>7781.8695212827297</v>
      </c>
      <c r="AL90" s="686">
        <f t="shared" ref="AL90:AL92" si="151">AK90</f>
        <v>7781.8695212827297</v>
      </c>
      <c r="AM90" s="68">
        <v>8013.5</v>
      </c>
      <c r="AN90" s="68">
        <v>7531.5</v>
      </c>
      <c r="AO90" s="68">
        <v>7836</v>
      </c>
      <c r="AP90" s="68">
        <v>8228.2000000000007</v>
      </c>
      <c r="AQ90" s="672">
        <f t="shared" ref="AQ90:AQ92" si="152">AP90</f>
        <v>8228.2000000000007</v>
      </c>
    </row>
    <row r="91" spans="2:43" ht="15.75" customHeight="1" outlineLevel="1">
      <c r="B91" s="750" t="s">
        <v>148</v>
      </c>
      <c r="C91" s="732"/>
      <c r="D91" s="48">
        <v>21369.534812999998</v>
      </c>
      <c r="E91" s="48">
        <v>21697.306474000001</v>
      </c>
      <c r="F91" s="48">
        <f>(22195604391/1000000)</f>
        <v>22195.604391000001</v>
      </c>
      <c r="G91" s="135">
        <v>22884.103636</v>
      </c>
      <c r="H91" s="675">
        <f t="shared" si="147"/>
        <v>22884.103636</v>
      </c>
      <c r="I91" s="48">
        <f>(24308283152/1000000)</f>
        <v>24308.283152</v>
      </c>
      <c r="J91" s="135">
        <v>25649.651644000001</v>
      </c>
      <c r="K91" s="135">
        <v>26672.794389999999</v>
      </c>
      <c r="L91" s="48">
        <v>27182.672428000002</v>
      </c>
      <c r="M91" s="675">
        <f t="shared" si="148"/>
        <v>27182.672428000002</v>
      </c>
      <c r="N91" s="48">
        <v>27790.719775000001</v>
      </c>
      <c r="O91" s="48">
        <v>27941.5272</v>
      </c>
      <c r="P91" s="134">
        <v>27815.020305999999</v>
      </c>
      <c r="Q91" s="48">
        <v>26058.821898999999</v>
      </c>
      <c r="R91" s="675">
        <f t="shared" si="149"/>
        <v>26058.821898999999</v>
      </c>
      <c r="S91" s="139">
        <v>25870.825105</v>
      </c>
      <c r="T91" s="48">
        <v>25758.948561000001</v>
      </c>
      <c r="U91" s="136">
        <v>27471.411897999998</v>
      </c>
      <c r="V91" s="137">
        <v>27750.005863999999</v>
      </c>
      <c r="W91" s="681">
        <v>27750.005863999999</v>
      </c>
      <c r="X91" s="136">
        <v>28658.741886</v>
      </c>
      <c r="Y91" s="136">
        <v>30161.061265</v>
      </c>
      <c r="Z91" s="136">
        <v>30816.668969999999</v>
      </c>
      <c r="AA91" s="33">
        <f>Z91-AA192-AA245</f>
        <v>31520.037552837704</v>
      </c>
      <c r="AB91" s="657">
        <f t="shared" ref="AB91:AB92" si="153">AA91</f>
        <v>31520.037552837704</v>
      </c>
      <c r="AC91" s="33">
        <f t="shared" ref="AC91:AF91" si="154">AA91-AC192-AC245</f>
        <v>32476.216804547574</v>
      </c>
      <c r="AD91" s="33">
        <f t="shared" si="154"/>
        <v>32467.39666826525</v>
      </c>
      <c r="AE91" s="33">
        <f t="shared" si="154"/>
        <v>33393.385510233849</v>
      </c>
      <c r="AF91" s="33">
        <f t="shared" si="154"/>
        <v>33449.17504495928</v>
      </c>
      <c r="AG91" s="657">
        <f t="shared" si="150"/>
        <v>33449.17504495928</v>
      </c>
      <c r="AH91" s="33">
        <f t="shared" ref="AH91:AK91" si="155">AF91-AH192-AH245</f>
        <v>34529.024826779743</v>
      </c>
      <c r="AI91" s="33">
        <f t="shared" si="155"/>
        <v>34552.369042736529</v>
      </c>
      <c r="AJ91" s="33">
        <f t="shared" si="155"/>
        <v>35684.793942630044</v>
      </c>
      <c r="AK91" s="33">
        <f t="shared" si="155"/>
        <v>35764.302083994997</v>
      </c>
      <c r="AL91" s="657">
        <f t="shared" si="151"/>
        <v>35764.302083994997</v>
      </c>
      <c r="AM91" s="65">
        <f t="shared" ref="AM91:AP91" si="156">AK91-AM192-AM245</f>
        <v>37050.001473667558</v>
      </c>
      <c r="AN91" s="65">
        <f t="shared" si="156"/>
        <v>37093.945523196096</v>
      </c>
      <c r="AO91" s="65">
        <f t="shared" si="156"/>
        <v>38453.56109388591</v>
      </c>
      <c r="AP91" s="65">
        <f t="shared" si="156"/>
        <v>38553.360053397824</v>
      </c>
      <c r="AQ91" s="671">
        <f t="shared" si="152"/>
        <v>38553.360053397824</v>
      </c>
    </row>
    <row r="92" spans="2:43" ht="15.75" customHeight="1" outlineLevel="1">
      <c r="B92" s="750" t="s">
        <v>149</v>
      </c>
      <c r="C92" s="732"/>
      <c r="D92" s="48">
        <v>8281.1393430000007</v>
      </c>
      <c r="E92" s="48">
        <v>8558.4415779999999</v>
      </c>
      <c r="F92" s="48">
        <f>(8817107224/1000000)</f>
        <v>8817.1072239999994</v>
      </c>
      <c r="G92" s="135">
        <v>9277.247222</v>
      </c>
      <c r="H92" s="675">
        <f t="shared" si="147"/>
        <v>9277.247222</v>
      </c>
      <c r="I92" s="48">
        <f>(9698004853/1000000)</f>
        <v>9698.0048530000004</v>
      </c>
      <c r="J92" s="135">
        <v>10232.021726000001</v>
      </c>
      <c r="K92" s="135">
        <v>10550.525159999999</v>
      </c>
      <c r="L92" s="48">
        <v>12874.322006</v>
      </c>
      <c r="M92" s="675">
        <f t="shared" si="148"/>
        <v>12874.322006</v>
      </c>
      <c r="N92" s="48">
        <v>11599.885560000001</v>
      </c>
      <c r="O92" s="48">
        <v>12116.002138</v>
      </c>
      <c r="P92" s="134">
        <v>12245.630585999999</v>
      </c>
      <c r="Q92" s="48">
        <v>15076.807755</v>
      </c>
      <c r="R92" s="675">
        <f t="shared" si="149"/>
        <v>15076.807755</v>
      </c>
      <c r="S92" s="139">
        <v>15436.867539999999</v>
      </c>
      <c r="T92" s="48">
        <v>16089.42655</v>
      </c>
      <c r="U92" s="136">
        <v>16324.096835</v>
      </c>
      <c r="V92" s="137">
        <v>17397.060559000001</v>
      </c>
      <c r="W92" s="681">
        <v>17397.060559000001</v>
      </c>
      <c r="X92" s="136">
        <v>17966.022773000001</v>
      </c>
      <c r="Y92" s="136">
        <v>19063.882673</v>
      </c>
      <c r="Z92" s="136">
        <v>19482.015431</v>
      </c>
      <c r="AA92" s="33">
        <f>Z92*(Y92/X92)</f>
        <v>20672.513950517608</v>
      </c>
      <c r="AB92" s="657">
        <f t="shared" si="153"/>
        <v>20672.513950517608</v>
      </c>
      <c r="AC92" s="33">
        <f>AA92*(Z92/Y92)</f>
        <v>21125.929208111782</v>
      </c>
      <c r="AD92" s="33">
        <f>AC92*(AA92/Z92)</f>
        <v>22416.883295216718</v>
      </c>
      <c r="AE92" s="33">
        <f t="shared" ref="AE92:AF92" si="157">AD92*(AC92/AB92)</f>
        <v>22908.558228322992</v>
      </c>
      <c r="AF92" s="33">
        <f t="shared" si="157"/>
        <v>24308.444433715529</v>
      </c>
      <c r="AG92" s="657">
        <f t="shared" si="150"/>
        <v>24308.444433715529</v>
      </c>
      <c r="AH92" s="33">
        <f>AF92*(AE92/AD92)</f>
        <v>24841.607435613074</v>
      </c>
      <c r="AI92" s="33">
        <f>AH92*(AF92/AE92)</f>
        <v>26359.617570615668</v>
      </c>
      <c r="AJ92" s="33">
        <f>AI92*(AH92/AF92)</f>
        <v>26937.769449940697</v>
      </c>
      <c r="AK92" s="33">
        <f>AJ92*(AI92/AH92)</f>
        <v>28583.87094097185</v>
      </c>
      <c r="AL92" s="657">
        <f t="shared" si="151"/>
        <v>28583.87094097185</v>
      </c>
      <c r="AM92" s="68">
        <f>AK92*(AJ92/AI92)</f>
        <v>29210.8079084235</v>
      </c>
      <c r="AN92" s="68">
        <f>AM92*(AK92/AJ92)</f>
        <v>30995.809244248147</v>
      </c>
      <c r="AO92" s="68">
        <f t="shared" ref="AO92:AP92" si="158">AN92*(AM92/AL92)</f>
        <v>31675.64783893773</v>
      </c>
      <c r="AP92" s="68">
        <f t="shared" si="158"/>
        <v>33611.269540428235</v>
      </c>
      <c r="AQ92" s="672">
        <f t="shared" si="152"/>
        <v>33611.269540428235</v>
      </c>
    </row>
    <row r="93" spans="2:43" ht="15.75" customHeight="1" outlineLevel="1">
      <c r="B93" s="34" t="s">
        <v>150</v>
      </c>
      <c r="C93" s="93"/>
      <c r="D93" s="48">
        <v>0.79507399999999995</v>
      </c>
      <c r="E93" s="48">
        <v>0.89810900000000005</v>
      </c>
      <c r="F93" s="48">
        <v>17.064716000000001</v>
      </c>
      <c r="G93" s="135"/>
      <c r="H93" s="675">
        <f t="shared" si="147"/>
        <v>0</v>
      </c>
      <c r="I93" s="48"/>
      <c r="J93" s="135"/>
      <c r="K93" s="135"/>
      <c r="L93" s="48"/>
      <c r="M93" s="675"/>
      <c r="N93" s="48"/>
      <c r="O93" s="48"/>
      <c r="P93" s="139"/>
      <c r="Q93" s="48"/>
      <c r="R93" s="675"/>
      <c r="S93" s="139"/>
      <c r="T93" s="48"/>
      <c r="U93" s="48"/>
      <c r="V93" s="134"/>
      <c r="W93" s="674"/>
      <c r="X93" s="48"/>
      <c r="Y93" s="48"/>
      <c r="Z93" s="48"/>
      <c r="AA93" s="33"/>
      <c r="AB93" s="657"/>
      <c r="AC93" s="33"/>
      <c r="AD93" s="33"/>
      <c r="AE93" s="33"/>
      <c r="AF93" s="33"/>
      <c r="AG93" s="657"/>
      <c r="AH93" s="33"/>
      <c r="AI93" s="33"/>
      <c r="AJ93" s="33"/>
      <c r="AK93" s="33"/>
      <c r="AL93" s="657"/>
      <c r="AM93" s="68"/>
      <c r="AN93" s="68"/>
      <c r="AO93" s="68"/>
      <c r="AP93" s="68"/>
      <c r="AQ93" s="672"/>
    </row>
    <row r="94" spans="2:43" ht="15.75" customHeight="1" outlineLevel="1">
      <c r="B94" s="750" t="s">
        <v>151</v>
      </c>
      <c r="C94" s="732"/>
      <c r="D94" s="48"/>
      <c r="E94" s="48"/>
      <c r="F94" s="48"/>
      <c r="G94" s="48"/>
      <c r="H94" s="675">
        <f t="shared" si="147"/>
        <v>0</v>
      </c>
      <c r="I94" s="48"/>
      <c r="J94" s="135"/>
      <c r="K94" s="48"/>
      <c r="L94" s="48"/>
      <c r="M94" s="675">
        <f t="shared" ref="M94:M95" si="159">L94</f>
        <v>0</v>
      </c>
      <c r="N94" s="48"/>
      <c r="O94" s="48"/>
      <c r="P94" s="48"/>
      <c r="Q94" s="48"/>
      <c r="R94" s="675">
        <f t="shared" ref="R94:R95" si="160">Q94</f>
        <v>0</v>
      </c>
      <c r="S94" s="48"/>
      <c r="T94" s="48"/>
      <c r="U94" s="48"/>
      <c r="V94" s="134"/>
      <c r="W94" s="674"/>
      <c r="X94" s="48"/>
      <c r="Y94" s="48"/>
      <c r="Z94" s="48"/>
      <c r="AA94" s="33"/>
      <c r="AB94" s="657"/>
      <c r="AC94" s="33"/>
      <c r="AD94" s="33"/>
      <c r="AE94" s="33"/>
      <c r="AF94" s="33"/>
      <c r="AG94" s="657"/>
      <c r="AH94" s="33"/>
      <c r="AI94" s="33"/>
      <c r="AJ94" s="33"/>
      <c r="AK94" s="33"/>
      <c r="AL94" s="657"/>
      <c r="AM94" s="68"/>
      <c r="AN94" s="68"/>
      <c r="AO94" s="68"/>
      <c r="AP94" s="68"/>
      <c r="AQ94" s="672"/>
    </row>
    <row r="95" spans="2:43" ht="15.75" customHeight="1" outlineLevel="1">
      <c r="B95" s="750" t="s">
        <v>152</v>
      </c>
      <c r="C95" s="732"/>
      <c r="D95" s="48">
        <v>2744.5881380000001</v>
      </c>
      <c r="E95" s="48">
        <v>4122.1560049999998</v>
      </c>
      <c r="F95" s="48">
        <f>(4051814428/1000000)</f>
        <v>4051.8144280000001</v>
      </c>
      <c r="G95" s="48">
        <v>3590.2003110000001</v>
      </c>
      <c r="H95" s="675">
        <f t="shared" si="147"/>
        <v>3590.2003110000001</v>
      </c>
      <c r="I95" s="48">
        <f>(3582927583/1000000)</f>
        <v>3582.9275830000001</v>
      </c>
      <c r="J95" s="135">
        <v>4407.0244650000004</v>
      </c>
      <c r="K95" s="135">
        <v>5104.6530350000003</v>
      </c>
      <c r="L95" s="48">
        <v>5006.37608</v>
      </c>
      <c r="M95" s="675">
        <f t="shared" si="159"/>
        <v>5006.37608</v>
      </c>
      <c r="N95" s="48">
        <v>4861.971329</v>
      </c>
      <c r="O95" s="48">
        <v>6279.2095339999996</v>
      </c>
      <c r="P95" s="134">
        <v>5740.1909169999999</v>
      </c>
      <c r="Q95" s="48">
        <v>5603.6919269999999</v>
      </c>
      <c r="R95" s="675">
        <f t="shared" si="160"/>
        <v>5603.6919269999999</v>
      </c>
      <c r="S95" s="139">
        <v>5469.8581569999997</v>
      </c>
      <c r="T95" s="48">
        <v>7543.2869190000001</v>
      </c>
      <c r="U95" s="136">
        <v>7014.4442479999998</v>
      </c>
      <c r="V95" s="137">
        <v>6992.2069039999997</v>
      </c>
      <c r="W95" s="681">
        <v>6992.2069039999997</v>
      </c>
      <c r="X95" s="136">
        <v>6950.3615460000001</v>
      </c>
      <c r="Y95" s="136">
        <v>7532.3096100000002</v>
      </c>
      <c r="Z95" s="136">
        <v>7591.9280820000004</v>
      </c>
      <c r="AA95" s="48">
        <f>Z95*(V95/U95)</f>
        <v>7567.8599861660605</v>
      </c>
      <c r="AB95" s="655">
        <f>AA95</f>
        <v>7567.8599861660605</v>
      </c>
      <c r="AC95" s="48">
        <f>AA95*(X95/V95)</f>
        <v>7522.5695914791086</v>
      </c>
      <c r="AD95" s="48">
        <f t="shared" ref="AD95:AG95" si="161">AC95*(Y95/X95)</f>
        <v>8152.4281651796346</v>
      </c>
      <c r="AE95" s="48">
        <f t="shared" si="161"/>
        <v>8216.9548954208494</v>
      </c>
      <c r="AF95" s="48">
        <f t="shared" si="161"/>
        <v>8190.9053259636457</v>
      </c>
      <c r="AG95" s="655">
        <f t="shared" si="161"/>
        <v>8190.9053259636457</v>
      </c>
      <c r="AH95" s="48">
        <f>AG95*(AC95/AA95)</f>
        <v>8141.886272263594</v>
      </c>
      <c r="AI95" s="48">
        <f t="shared" ref="AI95:AL95" si="162">AH95*(AD95/AC95)</f>
        <v>8823.5997230090215</v>
      </c>
      <c r="AJ95" s="48">
        <f t="shared" si="162"/>
        <v>8893.4387976438502</v>
      </c>
      <c r="AK95" s="48">
        <f t="shared" si="162"/>
        <v>8865.2446241792113</v>
      </c>
      <c r="AL95" s="655">
        <f t="shared" si="162"/>
        <v>8865.2446241792113</v>
      </c>
      <c r="AM95" s="140">
        <f>AK95*(AH95/AF95)</f>
        <v>8812.1899391349034</v>
      </c>
      <c r="AN95" s="140">
        <f t="shared" ref="AN95:AQ95" si="163">AM95*(AI95/AH95)</f>
        <v>9550.0273653952954</v>
      </c>
      <c r="AO95" s="140">
        <f t="shared" si="163"/>
        <v>9625.6161381041566</v>
      </c>
      <c r="AP95" s="68">
        <f t="shared" si="163"/>
        <v>9595.1008000806196</v>
      </c>
      <c r="AQ95" s="672">
        <f t="shared" si="163"/>
        <v>9595.1008000806196</v>
      </c>
    </row>
    <row r="96" spans="2:43" ht="15.75" customHeight="1" outlineLevel="1">
      <c r="B96" s="775" t="s">
        <v>153</v>
      </c>
      <c r="C96" s="776"/>
      <c r="D96" s="142">
        <f t="shared" ref="D96:AQ96" si="164">SUM(D89:D95)</f>
        <v>86916.586707000009</v>
      </c>
      <c r="E96" s="142">
        <f t="shared" si="164"/>
        <v>90858.361523</v>
      </c>
      <c r="F96" s="142">
        <f t="shared" si="164"/>
        <v>90908.258089999974</v>
      </c>
      <c r="G96" s="142">
        <f t="shared" si="164"/>
        <v>95452.223575999989</v>
      </c>
      <c r="H96" s="677">
        <f t="shared" si="164"/>
        <v>95452.223575999989</v>
      </c>
      <c r="I96" s="142">
        <f t="shared" si="164"/>
        <v>101358.66395300001</v>
      </c>
      <c r="J96" s="142">
        <f t="shared" si="164"/>
        <v>106602.891842</v>
      </c>
      <c r="K96" s="142">
        <f t="shared" si="164"/>
        <v>105808.846951</v>
      </c>
      <c r="L96" s="142">
        <f t="shared" si="164"/>
        <v>111757.37093300001</v>
      </c>
      <c r="M96" s="677">
        <f t="shared" si="164"/>
        <v>111757.37093300001</v>
      </c>
      <c r="N96" s="142">
        <f t="shared" si="164"/>
        <v>116769.985419</v>
      </c>
      <c r="O96" s="142">
        <f t="shared" si="164"/>
        <v>122336.74531199997</v>
      </c>
      <c r="P96" s="142">
        <f t="shared" si="164"/>
        <v>117379.92987099999</v>
      </c>
      <c r="Q96" s="142">
        <f t="shared" si="164"/>
        <v>121815.983312</v>
      </c>
      <c r="R96" s="677">
        <f t="shared" si="164"/>
        <v>121815.983312</v>
      </c>
      <c r="S96" s="142">
        <f t="shared" si="164"/>
        <v>128168.217104</v>
      </c>
      <c r="T96" s="142">
        <f t="shared" si="164"/>
        <v>135934.01353700002</v>
      </c>
      <c r="U96" s="142">
        <f t="shared" si="164"/>
        <v>128187.50004</v>
      </c>
      <c r="V96" s="142">
        <f t="shared" si="164"/>
        <v>132637.19705999998</v>
      </c>
      <c r="W96" s="677">
        <f t="shared" si="164"/>
        <v>132637.19705999998</v>
      </c>
      <c r="X96" s="142">
        <f t="shared" si="164"/>
        <v>140892.792334</v>
      </c>
      <c r="Y96" s="142">
        <f t="shared" si="164"/>
        <v>145571.28394299999</v>
      </c>
      <c r="Z96" s="142">
        <f t="shared" si="164"/>
        <v>141654.7739</v>
      </c>
      <c r="AA96" s="143">
        <f t="shared" si="164"/>
        <v>145212.5973866001</v>
      </c>
      <c r="AB96" s="687">
        <f t="shared" si="164"/>
        <v>145212.59738660007</v>
      </c>
      <c r="AC96" s="143">
        <f t="shared" si="164"/>
        <v>152240.89256773534</v>
      </c>
      <c r="AD96" s="143">
        <f t="shared" si="164"/>
        <v>161398.24747695724</v>
      </c>
      <c r="AE96" s="143">
        <f t="shared" si="164"/>
        <v>166060.19865809093</v>
      </c>
      <c r="AF96" s="143">
        <f t="shared" si="164"/>
        <v>164872.08987247737</v>
      </c>
      <c r="AG96" s="687">
        <f t="shared" si="164"/>
        <v>164872.08987247737</v>
      </c>
      <c r="AH96" s="143">
        <f t="shared" si="164"/>
        <v>169273.80951830695</v>
      </c>
      <c r="AI96" s="143">
        <f t="shared" si="164"/>
        <v>176165.28644535123</v>
      </c>
      <c r="AJ96" s="143">
        <f t="shared" si="164"/>
        <v>181281.90930503371</v>
      </c>
      <c r="AK96" s="143">
        <f t="shared" si="164"/>
        <v>184466.22566515533</v>
      </c>
      <c r="AL96" s="687">
        <f t="shared" si="164"/>
        <v>184466.2256651553</v>
      </c>
      <c r="AM96" s="143">
        <f t="shared" si="164"/>
        <v>190346.00549792079</v>
      </c>
      <c r="AN96" s="143">
        <f t="shared" si="164"/>
        <v>197186.4181436768</v>
      </c>
      <c r="AO96" s="143">
        <f t="shared" si="164"/>
        <v>202119.44351313997</v>
      </c>
      <c r="AP96" s="143">
        <f t="shared" si="164"/>
        <v>207404.66210438294</v>
      </c>
      <c r="AQ96" s="687">
        <f t="shared" si="164"/>
        <v>207404.66210438294</v>
      </c>
    </row>
    <row r="97" spans="1:66" ht="15.75" customHeight="1" outlineLevel="1">
      <c r="B97" s="750"/>
      <c r="C97" s="732"/>
      <c r="D97" s="48"/>
      <c r="E97" s="48"/>
      <c r="F97" s="48"/>
      <c r="G97" s="48"/>
      <c r="H97" s="675"/>
      <c r="I97" s="48"/>
      <c r="J97" s="48"/>
      <c r="K97" s="48"/>
      <c r="L97" s="48"/>
      <c r="M97" s="675"/>
      <c r="N97" s="48"/>
      <c r="O97" s="48"/>
      <c r="P97" s="48"/>
      <c r="Q97" s="48"/>
      <c r="R97" s="675"/>
      <c r="S97" s="48"/>
      <c r="T97" s="48"/>
      <c r="U97" s="48"/>
      <c r="V97" s="134"/>
      <c r="W97" s="674"/>
      <c r="X97" s="48"/>
      <c r="Y97" s="48"/>
      <c r="Z97" s="48"/>
      <c r="AA97" s="33"/>
      <c r="AB97" s="657"/>
      <c r="AC97" s="33"/>
      <c r="AD97" s="33"/>
      <c r="AE97" s="33"/>
      <c r="AF97" s="33"/>
      <c r="AG97" s="657"/>
      <c r="AH97" s="33"/>
      <c r="AI97" s="33"/>
      <c r="AJ97" s="33"/>
      <c r="AK97" s="33"/>
      <c r="AL97" s="657"/>
      <c r="AM97" s="68"/>
      <c r="AN97" s="68"/>
      <c r="AO97" s="68"/>
      <c r="AP97" s="68"/>
      <c r="AQ97" s="672"/>
    </row>
    <row r="98" spans="1:66" ht="15.75" customHeight="1" outlineLevel="1">
      <c r="B98" s="751" t="s">
        <v>154</v>
      </c>
      <c r="C98" s="732"/>
      <c r="D98" s="48"/>
      <c r="E98" s="48"/>
      <c r="F98" s="48"/>
      <c r="G98" s="48"/>
      <c r="H98" s="675"/>
      <c r="I98" s="48"/>
      <c r="J98" s="48"/>
      <c r="K98" s="48"/>
      <c r="L98" s="48"/>
      <c r="M98" s="675"/>
      <c r="N98" s="48"/>
      <c r="O98" s="48"/>
      <c r="P98" s="48"/>
      <c r="Q98" s="48"/>
      <c r="R98" s="675"/>
      <c r="S98" s="48"/>
      <c r="T98" s="48"/>
      <c r="U98" s="48"/>
      <c r="V98" s="134"/>
      <c r="W98" s="674"/>
      <c r="X98" s="48"/>
      <c r="Y98" s="48"/>
      <c r="Z98" s="48"/>
      <c r="AA98" s="33"/>
      <c r="AB98" s="657"/>
      <c r="AC98" s="33"/>
      <c r="AD98" s="33"/>
      <c r="AE98" s="33"/>
      <c r="AF98" s="33"/>
      <c r="AG98" s="657"/>
      <c r="AH98" s="33"/>
      <c r="AI98" s="33"/>
      <c r="AJ98" s="33"/>
      <c r="AK98" s="33"/>
      <c r="AL98" s="657"/>
      <c r="AM98" s="68"/>
      <c r="AN98" s="68"/>
      <c r="AO98" s="68"/>
      <c r="AP98" s="68"/>
      <c r="AQ98" s="672"/>
    </row>
    <row r="99" spans="1:66" ht="15.75" customHeight="1" outlineLevel="1">
      <c r="B99" s="750" t="s">
        <v>155</v>
      </c>
      <c r="C99" s="732"/>
      <c r="D99" s="48">
        <v>573.25651100000005</v>
      </c>
      <c r="E99" s="48">
        <v>491.58503000000002</v>
      </c>
      <c r="F99" s="48">
        <f>(406106816/1000000)</f>
        <v>406.10681599999998</v>
      </c>
      <c r="G99" s="48">
        <v>666.16720399999997</v>
      </c>
      <c r="H99" s="675">
        <f t="shared" ref="H99:H100" si="165">G99</f>
        <v>666.16720399999997</v>
      </c>
      <c r="I99" s="48">
        <f>(720380164/1000000)</f>
        <v>720.38016400000004</v>
      </c>
      <c r="J99" s="135">
        <v>788.97588499999995</v>
      </c>
      <c r="K99" s="135">
        <v>855.26687200000003</v>
      </c>
      <c r="L99" s="48">
        <v>625.98490700000002</v>
      </c>
      <c r="M99" s="675">
        <f t="shared" ref="M99:M100" si="166">L99</f>
        <v>625.98490700000002</v>
      </c>
      <c r="N99" s="48">
        <v>880.07800499999996</v>
      </c>
      <c r="O99" s="48">
        <v>1279.431069</v>
      </c>
      <c r="P99" s="134">
        <v>1100.0274850000001</v>
      </c>
      <c r="Q99" s="48">
        <v>1001.758842</v>
      </c>
      <c r="R99" s="675">
        <f t="shared" ref="R99:R100" si="167">Q99</f>
        <v>1001.758842</v>
      </c>
      <c r="S99" s="139">
        <v>1065.698461</v>
      </c>
      <c r="T99" s="48">
        <v>3383.437727</v>
      </c>
      <c r="U99" s="136">
        <v>800.52993700000002</v>
      </c>
      <c r="V99" s="137">
        <v>1455.4282720000001</v>
      </c>
      <c r="W99" s="681">
        <v>1455.4282720000001</v>
      </c>
      <c r="X99" s="136">
        <v>1532.3646550000001</v>
      </c>
      <c r="Y99" s="136">
        <v>1325.420965</v>
      </c>
      <c r="Z99" s="136">
        <v>1260.5370579999999</v>
      </c>
      <c r="AA99" s="48">
        <f>AA18*Workings!$K$78</f>
        <v>1442.0161068730604</v>
      </c>
      <c r="AB99" s="655">
        <f t="shared" ref="AB99:AB100" si="168">AA99</f>
        <v>1442.0161068730604</v>
      </c>
      <c r="AC99" s="48">
        <f>AC18*Workings!$K$78</f>
        <v>1475.4781151251154</v>
      </c>
      <c r="AD99" s="48">
        <f>AD18*Workings!$K$78</f>
        <v>1513.379484165268</v>
      </c>
      <c r="AE99" s="48">
        <f>AE18*Workings!$K$78</f>
        <v>1531.5431406535192</v>
      </c>
      <c r="AF99" s="48">
        <f>AF18*Workings!$K$78</f>
        <v>1603.8131395174996</v>
      </c>
      <c r="AG99" s="655">
        <f t="shared" ref="AG99:AG100" si="169">AF99</f>
        <v>1603.8131395174996</v>
      </c>
      <c r="AH99" s="48">
        <f>AH18*Workings!$K$78</f>
        <v>1677.165509225362</v>
      </c>
      <c r="AI99" s="48">
        <f>AI18*Workings!$K$78</f>
        <v>1720.2477266130293</v>
      </c>
      <c r="AJ99" s="48">
        <f>AJ18*Workings!$K$78</f>
        <v>1740.8942261247687</v>
      </c>
      <c r="AK99" s="48">
        <f>AK18*Workings!$K$78</f>
        <v>1823.0430212874446</v>
      </c>
      <c r="AL99" s="655">
        <f t="shared" ref="AL99:AL100" si="170">AK99</f>
        <v>1823.0430212874446</v>
      </c>
      <c r="AM99" s="48">
        <f>AM18*Workings!$K$78</f>
        <v>1906.4221397120796</v>
      </c>
      <c r="AN99" s="48">
        <f>AN18*Workings!$K$78</f>
        <v>1955.3933906732755</v>
      </c>
      <c r="AO99" s="48">
        <f>AO18*Workings!$K$78</f>
        <v>1978.8621202412439</v>
      </c>
      <c r="AP99" s="48">
        <f>AP18*Workings!$K$78</f>
        <v>2072.2400730952422</v>
      </c>
      <c r="AQ99" s="655">
        <f t="shared" ref="AQ99:AQ100" si="171">AP99</f>
        <v>2072.2400730952422</v>
      </c>
    </row>
    <row r="100" spans="1:66" ht="15.75" customHeight="1" outlineLevel="1">
      <c r="B100" s="34" t="s">
        <v>156</v>
      </c>
      <c r="C100" s="93"/>
      <c r="D100" s="48">
        <v>1516.9871929999999</v>
      </c>
      <c r="E100" s="48">
        <v>5331.6957110000003</v>
      </c>
      <c r="F100" s="48">
        <v>2575.531528</v>
      </c>
      <c r="G100" s="48">
        <v>1381.5018319999999</v>
      </c>
      <c r="H100" s="675">
        <f t="shared" si="165"/>
        <v>1381.5018319999999</v>
      </c>
      <c r="I100" s="48">
        <f>(2664310046/1000000)</f>
        <v>2664.3100460000001</v>
      </c>
      <c r="J100" s="135">
        <v>1379.891957</v>
      </c>
      <c r="K100" s="135">
        <v>1451.4919520000001</v>
      </c>
      <c r="L100" s="48">
        <v>1613.900866</v>
      </c>
      <c r="M100" s="675">
        <f t="shared" si="166"/>
        <v>1613.900866</v>
      </c>
      <c r="N100" s="48">
        <v>2245.3931480000001</v>
      </c>
      <c r="O100" s="48">
        <v>1986.773923</v>
      </c>
      <c r="P100" s="134">
        <v>2222.7491709999999</v>
      </c>
      <c r="Q100" s="48">
        <v>1877.9623260000001</v>
      </c>
      <c r="R100" s="675">
        <f t="shared" si="167"/>
        <v>1877.9623260000001</v>
      </c>
      <c r="S100" s="139">
        <v>1908.0979400000001</v>
      </c>
      <c r="T100" s="48">
        <v>1886.576327</v>
      </c>
      <c r="U100" s="136">
        <v>1705.4963720000001</v>
      </c>
      <c r="V100" s="137">
        <v>1820.9439729999999</v>
      </c>
      <c r="W100" s="681">
        <v>1820.9439729999999</v>
      </c>
      <c r="X100" s="136">
        <v>3013.9474049999999</v>
      </c>
      <c r="Y100" s="136">
        <v>11822.935739</v>
      </c>
      <c r="Z100" s="136">
        <v>2167.4111830000002</v>
      </c>
      <c r="AA100" s="48">
        <f>(AA18/AA150*2)-Z100</f>
        <v>1221.1944333337442</v>
      </c>
      <c r="AB100" s="655">
        <f t="shared" si="168"/>
        <v>1221.1944333337442</v>
      </c>
      <c r="AC100" s="48">
        <f>(AC18/AC150*2)-AB100</f>
        <v>3026.9191267273145</v>
      </c>
      <c r="AD100" s="48">
        <f t="shared" ref="AD100:AF100" si="172">(AD151/90)*AD18</f>
        <v>7081.6087280028914</v>
      </c>
      <c r="AE100" s="48">
        <f t="shared" si="172"/>
        <v>7154.4877839152114</v>
      </c>
      <c r="AF100" s="48">
        <f t="shared" si="172"/>
        <v>1818.0355688585205</v>
      </c>
      <c r="AG100" s="655">
        <f t="shared" si="169"/>
        <v>1818.0355688585205</v>
      </c>
      <c r="AH100" s="48">
        <f t="shared" ref="AH100:AI100" si="173">(AH151/90)*AH18</f>
        <v>565.24438676961859</v>
      </c>
      <c r="AI100" s="48">
        <f t="shared" si="173"/>
        <v>1884.5256965046099</v>
      </c>
      <c r="AJ100" s="48">
        <f>(AJ18/AJ150*2)-AI100</f>
        <v>1923.3141862048872</v>
      </c>
      <c r="AK100" s="48">
        <f>(AK151/90)*AK18</f>
        <v>483.80740567115117</v>
      </c>
      <c r="AL100" s="655">
        <f t="shared" si="170"/>
        <v>483.80740567115117</v>
      </c>
      <c r="AM100" s="48">
        <f>(AM151/90)*AM18</f>
        <v>150.42028055858751</v>
      </c>
      <c r="AN100" s="48">
        <f t="shared" ref="AN100:AP100" si="174">(AN18/AN150*2)-AM100</f>
        <v>852.5826350763009</v>
      </c>
      <c r="AO100" s="48">
        <f t="shared" si="174"/>
        <v>160.74249806260207</v>
      </c>
      <c r="AP100" s="48">
        <f t="shared" si="174"/>
        <v>96.754780639391299</v>
      </c>
      <c r="AQ100" s="655">
        <f t="shared" si="171"/>
        <v>96.754780639391299</v>
      </c>
    </row>
    <row r="101" spans="1:66" ht="15.75" customHeight="1" outlineLevel="1">
      <c r="B101" s="34" t="s">
        <v>157</v>
      </c>
      <c r="C101" s="93"/>
      <c r="D101" s="48"/>
      <c r="E101" s="48"/>
      <c r="F101" s="48"/>
      <c r="G101" s="48"/>
      <c r="H101" s="675"/>
      <c r="I101" s="48"/>
      <c r="J101" s="135">
        <f>5318.70606</f>
        <v>5318.7060600000004</v>
      </c>
      <c r="K101" s="135"/>
      <c r="L101" s="48"/>
      <c r="M101" s="675"/>
      <c r="N101" s="48"/>
      <c r="O101" s="48">
        <f>8864.5101</f>
        <v>8864.5100999999995</v>
      </c>
      <c r="P101" s="134"/>
      <c r="Q101" s="48"/>
      <c r="R101" s="675"/>
      <c r="S101" s="139"/>
      <c r="T101" s="48">
        <f>9307.735605</f>
        <v>9307.7356049999999</v>
      </c>
      <c r="U101" s="48"/>
      <c r="V101" s="134"/>
      <c r="W101" s="674"/>
      <c r="X101" s="48"/>
      <c r="Y101" s="48"/>
      <c r="Z101" s="48"/>
      <c r="AA101" s="33"/>
      <c r="AB101" s="657"/>
      <c r="AC101" s="33"/>
      <c r="AD101" s="33"/>
      <c r="AE101" s="33"/>
      <c r="AF101" s="33"/>
      <c r="AG101" s="657"/>
      <c r="AH101" s="33"/>
      <c r="AI101" s="33"/>
      <c r="AJ101" s="33"/>
      <c r="AK101" s="33"/>
      <c r="AL101" s="657"/>
      <c r="AM101" s="68"/>
      <c r="AN101" s="68"/>
      <c r="AO101" s="68"/>
      <c r="AP101" s="68"/>
      <c r="AQ101" s="672"/>
    </row>
    <row r="102" spans="1:66" ht="15.75" customHeight="1" outlineLevel="1">
      <c r="B102" s="53" t="s">
        <v>158</v>
      </c>
      <c r="C102" s="93"/>
      <c r="D102" s="48"/>
      <c r="E102" s="48"/>
      <c r="F102" s="48"/>
      <c r="G102" s="48"/>
      <c r="H102" s="675">
        <f t="shared" ref="H102:H106" si="175">G102</f>
        <v>0</v>
      </c>
      <c r="I102" s="48">
        <f>(7859740/1000000)</f>
        <v>7.8597400000000004</v>
      </c>
      <c r="J102" s="135">
        <v>21.409635000000002</v>
      </c>
      <c r="K102" s="135">
        <v>134.05632700000001</v>
      </c>
      <c r="L102" s="48">
        <v>200</v>
      </c>
      <c r="M102" s="675">
        <f t="shared" ref="M102:M106" si="176">L102</f>
        <v>200</v>
      </c>
      <c r="N102" s="48">
        <v>300</v>
      </c>
      <c r="O102" s="48">
        <v>443.634049</v>
      </c>
      <c r="P102" s="134">
        <v>440.95006699999999</v>
      </c>
      <c r="Q102" s="48">
        <v>618.60947199999998</v>
      </c>
      <c r="R102" s="675">
        <f t="shared" ref="R102:R106" si="177">Q102</f>
        <v>618.60947199999998</v>
      </c>
      <c r="S102" s="139">
        <v>576.32515699999999</v>
      </c>
      <c r="T102" s="48">
        <v>566.22408800000005</v>
      </c>
      <c r="U102" s="136">
        <v>599.11568</v>
      </c>
      <c r="V102" s="137">
        <v>614.53982599999995</v>
      </c>
      <c r="W102" s="681">
        <v>614.53982599999995</v>
      </c>
      <c r="X102" s="136">
        <v>698.72988499999997</v>
      </c>
      <c r="Y102" s="136">
        <v>620.43957799999998</v>
      </c>
      <c r="Z102" s="136">
        <v>622.23563000000001</v>
      </c>
      <c r="AA102" s="33">
        <f>AA127*AA147*AA152</f>
        <v>693.98086441240991</v>
      </c>
      <c r="AB102" s="657">
        <f t="shared" ref="AB102:AB105" si="178">AA102</f>
        <v>693.98086441240991</v>
      </c>
      <c r="AC102" s="33">
        <f t="shared" ref="AC102:AF102" si="179">AC127*AC147*AC152</f>
        <v>713.99361285152861</v>
      </c>
      <c r="AD102" s="33">
        <f t="shared" si="179"/>
        <v>724.37204258441238</v>
      </c>
      <c r="AE102" s="33">
        <f t="shared" si="179"/>
        <v>749.08204925941061</v>
      </c>
      <c r="AF102" s="33">
        <f t="shared" si="179"/>
        <v>775.11537695554944</v>
      </c>
      <c r="AG102" s="657">
        <f t="shared" ref="AG102:AG104" si="180">AF102</f>
        <v>775.11537695554944</v>
      </c>
      <c r="AH102" s="33">
        <f t="shared" ref="AH102:AK102" si="181">AH127*AH147*AH152</f>
        <v>797.6567226281328</v>
      </c>
      <c r="AI102" s="33">
        <f t="shared" si="181"/>
        <v>821.02599340316829</v>
      </c>
      <c r="AJ102" s="33">
        <f t="shared" si="181"/>
        <v>846.80101203281083</v>
      </c>
      <c r="AK102" s="33">
        <f t="shared" si="181"/>
        <v>868.27138039644046</v>
      </c>
      <c r="AL102" s="657">
        <f t="shared" ref="AL102:AL104" si="182">AK102</f>
        <v>868.27138039644046</v>
      </c>
      <c r="AM102" s="33">
        <f t="shared" ref="AM102:AP102" si="183">AM127*AM147*AM152</f>
        <v>895.40482097329289</v>
      </c>
      <c r="AN102" s="33">
        <f t="shared" si="183"/>
        <v>922.9014853830289</v>
      </c>
      <c r="AO102" s="33">
        <f t="shared" si="183"/>
        <v>949.87526860788842</v>
      </c>
      <c r="AP102" s="33">
        <f t="shared" si="183"/>
        <v>972.3183394513544</v>
      </c>
      <c r="AQ102" s="657">
        <f t="shared" ref="AQ102:AQ104" si="184">AP102</f>
        <v>972.3183394513544</v>
      </c>
    </row>
    <row r="103" spans="1:66" ht="15.75" customHeight="1" outlineLevel="1">
      <c r="B103" s="53" t="s">
        <v>159</v>
      </c>
      <c r="C103" s="93"/>
      <c r="D103" s="48">
        <v>333.57655399999999</v>
      </c>
      <c r="E103" s="48">
        <v>332.15831800000001</v>
      </c>
      <c r="F103" s="48">
        <v>329.326954</v>
      </c>
      <c r="G103" s="135">
        <v>375.16573899999997</v>
      </c>
      <c r="H103" s="675">
        <f t="shared" si="175"/>
        <v>375.16573899999997</v>
      </c>
      <c r="I103" s="48">
        <f>(103405665/1000000)</f>
        <v>103.405665</v>
      </c>
      <c r="J103" s="135">
        <v>99.408215999999996</v>
      </c>
      <c r="K103" s="135">
        <v>74.251092999999997</v>
      </c>
      <c r="L103" s="48">
        <v>129.63602900000001</v>
      </c>
      <c r="M103" s="675">
        <f t="shared" si="176"/>
        <v>129.63602900000001</v>
      </c>
      <c r="N103" s="48">
        <v>127.250057</v>
      </c>
      <c r="O103" s="48">
        <v>125.829677</v>
      </c>
      <c r="P103" s="134">
        <v>124.247124</v>
      </c>
      <c r="Q103" s="48">
        <v>158.99779000000001</v>
      </c>
      <c r="R103" s="675">
        <f t="shared" si="177"/>
        <v>158.99779000000001</v>
      </c>
      <c r="S103" s="139">
        <v>151.99027699999999</v>
      </c>
      <c r="T103" s="48">
        <v>150.48964699999999</v>
      </c>
      <c r="U103" s="136">
        <v>241.491354</v>
      </c>
      <c r="V103" s="137">
        <v>191.98363000000001</v>
      </c>
      <c r="W103" s="681">
        <v>191.98363000000001</v>
      </c>
      <c r="X103" s="136">
        <v>188.637721</v>
      </c>
      <c r="Y103" s="136">
        <v>186.111773</v>
      </c>
      <c r="Z103" s="136">
        <v>184.77745200000001</v>
      </c>
      <c r="AA103" s="48">
        <f>Z103*(1+Workings!F79)</f>
        <v>229.11410912791635</v>
      </c>
      <c r="AB103" s="655">
        <f t="shared" si="178"/>
        <v>229.11410912791635</v>
      </c>
      <c r="AC103" s="48">
        <f>AA103*(1+Workings!C79)</f>
        <v>169.02117762677997</v>
      </c>
      <c r="AD103" s="48">
        <f>AC103*(1+Workings!D79)</f>
        <v>166.31916915086336</v>
      </c>
      <c r="AE103" s="48">
        <f>AD103*(1+Workings!E79)</f>
        <v>180.06271113650325</v>
      </c>
      <c r="AF103" s="48">
        <f>AE103*(1+Workings!F79)</f>
        <v>223.26808386337788</v>
      </c>
      <c r="AG103" s="655">
        <f t="shared" si="180"/>
        <v>223.26808386337788</v>
      </c>
      <c r="AH103" s="48">
        <f>AF103*(1+Workings!C79)</f>
        <v>164.70847039801419</v>
      </c>
      <c r="AI103" s="48">
        <f>AH103*(1+Workings!D79)</f>
        <v>162.07540577664815</v>
      </c>
      <c r="AJ103" s="48">
        <f>AI103*(1+Workings!E79)</f>
        <v>175.46827056489451</v>
      </c>
      <c r="AK103" s="48">
        <f>AJ103*(1+Workings!F79)</f>
        <v>217.57122449492371</v>
      </c>
      <c r="AL103" s="655">
        <f t="shared" si="182"/>
        <v>217.57122449492371</v>
      </c>
      <c r="AM103" s="144">
        <f>AK103*(1+Workings!C79)</f>
        <v>160.50580525925275</v>
      </c>
      <c r="AN103" s="144">
        <f>AM103*(1+Workings!D79)</f>
        <v>157.93992533619388</v>
      </c>
      <c r="AO103" s="144">
        <f>AN103*(1+Workings!E79)</f>
        <v>170.99106072935999</v>
      </c>
      <c r="AP103" s="144">
        <f>AO103*(1+Workings!F79)</f>
        <v>212.01972493832611</v>
      </c>
      <c r="AQ103" s="694">
        <f t="shared" si="184"/>
        <v>212.01972493832611</v>
      </c>
    </row>
    <row r="104" spans="1:66" ht="15.75" customHeight="1" outlineLevel="1">
      <c r="B104" s="53" t="s">
        <v>160</v>
      </c>
      <c r="C104" s="93"/>
      <c r="D104" s="48">
        <v>1208.700654</v>
      </c>
      <c r="E104" s="48">
        <v>1387.5935750000001</v>
      </c>
      <c r="F104" s="48">
        <v>738.72918200000004</v>
      </c>
      <c r="G104" s="48">
        <v>572.675072</v>
      </c>
      <c r="H104" s="675">
        <f t="shared" si="175"/>
        <v>572.675072</v>
      </c>
      <c r="I104" s="48"/>
      <c r="J104" s="135">
        <v>1085.2645239999999</v>
      </c>
      <c r="K104" s="135">
        <v>698.53649099999996</v>
      </c>
      <c r="L104" s="48">
        <v>911.50487299999998</v>
      </c>
      <c r="M104" s="675">
        <f t="shared" si="176"/>
        <v>911.50487299999998</v>
      </c>
      <c r="N104" s="48">
        <v>1452.942223</v>
      </c>
      <c r="O104" s="48">
        <v>1762.7465299999999</v>
      </c>
      <c r="P104" s="134">
        <v>1361.9660719999999</v>
      </c>
      <c r="Q104" s="48">
        <v>356.095553</v>
      </c>
      <c r="R104" s="675">
        <f t="shared" si="177"/>
        <v>356.095553</v>
      </c>
      <c r="S104" s="139">
        <v>929.46356500000002</v>
      </c>
      <c r="T104" s="48">
        <v>1045.465841</v>
      </c>
      <c r="U104" s="136">
        <v>1229.215095</v>
      </c>
      <c r="V104" s="137">
        <v>912.26590499999998</v>
      </c>
      <c r="W104" s="681">
        <v>912.26590499999998</v>
      </c>
      <c r="X104" s="136">
        <v>1079.948367</v>
      </c>
      <c r="Y104" s="136">
        <v>1274.9543920000001</v>
      </c>
      <c r="Z104" s="136">
        <v>1637.1087299999999</v>
      </c>
      <c r="AA104" s="48">
        <f>Z104*(1+Workings!F89)</f>
        <v>1259.7486987796979</v>
      </c>
      <c r="AB104" s="655">
        <f t="shared" si="178"/>
        <v>1259.7486987796979</v>
      </c>
      <c r="AC104" s="48">
        <f>AA104*(1+Workings!C89)</f>
        <v>1696.8703719870182</v>
      </c>
      <c r="AD104" s="48">
        <f>AC104*(1+Workings!D89)</f>
        <v>1979.656021781582</v>
      </c>
      <c r="AE104" s="48">
        <f>AD104*(1+Workings!E89)</f>
        <v>1918.3387405392855</v>
      </c>
      <c r="AF104" s="48">
        <f>AE104*(1+Workings!F89)</f>
        <v>1476.1540806230075</v>
      </c>
      <c r="AG104" s="655">
        <f t="shared" si="180"/>
        <v>1476.1540806230075</v>
      </c>
      <c r="AH104" s="48">
        <f>AF104*(1+Workings!C89)</f>
        <v>1988.3665101804236</v>
      </c>
      <c r="AI104" s="48">
        <f>AH104*(1+Workings!D89)</f>
        <v>2319.7303697265679</v>
      </c>
      <c r="AJ104" s="48">
        <f>AI104*(1+Workings!E89)</f>
        <v>2247.879726017863</v>
      </c>
      <c r="AK104" s="48">
        <f>AJ104*(1+Workings!F89)</f>
        <v>1729.734566783641</v>
      </c>
      <c r="AL104" s="655">
        <f t="shared" si="182"/>
        <v>1729.734566783641</v>
      </c>
      <c r="AM104" s="144">
        <f>AK104*(1+Workings!C89)</f>
        <v>2329.9371855832737</v>
      </c>
      <c r="AN104" s="144">
        <f>AM104*(1+Workings!D89)</f>
        <v>2718.2242414967727</v>
      </c>
      <c r="AO104" s="144">
        <f>AN104*(1+Workings!E89)</f>
        <v>2634.0307662356067</v>
      </c>
      <c r="AP104" s="144">
        <f>AO104*(1+Workings!F89)</f>
        <v>2026.8762663741925</v>
      </c>
      <c r="AQ104" s="694">
        <f t="shared" si="184"/>
        <v>2026.8762663741925</v>
      </c>
    </row>
    <row r="105" spans="1:66" ht="15.75" customHeight="1" outlineLevel="1">
      <c r="B105" s="750" t="s">
        <v>161</v>
      </c>
      <c r="C105" s="732"/>
      <c r="D105" s="48">
        <v>25.565021000000002</v>
      </c>
      <c r="E105" s="48">
        <v>57.044854000000001</v>
      </c>
      <c r="F105" s="48">
        <f>(63649283/1000000)</f>
        <v>63.649282999999997</v>
      </c>
      <c r="G105" s="48">
        <v>183.04907900000001</v>
      </c>
      <c r="H105" s="675">
        <f t="shared" si="175"/>
        <v>183.04907900000001</v>
      </c>
      <c r="I105" s="48">
        <f>(87724276/1000000)</f>
        <v>87.724276000000003</v>
      </c>
      <c r="J105" s="135">
        <v>107.842383</v>
      </c>
      <c r="K105" s="135">
        <v>90.311983999999995</v>
      </c>
      <c r="L105" s="48">
        <v>180.802108</v>
      </c>
      <c r="M105" s="675">
        <f t="shared" si="176"/>
        <v>180.802108</v>
      </c>
      <c r="N105" s="48">
        <v>43.847371000000003</v>
      </c>
      <c r="O105" s="48">
        <v>106.671324</v>
      </c>
      <c r="P105" s="134">
        <v>180.130518</v>
      </c>
      <c r="Q105" s="48">
        <v>215.721733</v>
      </c>
      <c r="R105" s="675">
        <f t="shared" si="177"/>
        <v>215.721733</v>
      </c>
      <c r="S105" s="139">
        <v>82.113226999999995</v>
      </c>
      <c r="T105" s="48">
        <v>366.484735</v>
      </c>
      <c r="U105" s="136">
        <v>152.298024</v>
      </c>
      <c r="V105" s="137">
        <v>286.793273</v>
      </c>
      <c r="W105" s="681">
        <v>286.793273</v>
      </c>
      <c r="X105" s="136">
        <v>246.78540100000001</v>
      </c>
      <c r="Y105" s="136">
        <v>261.22666700000002</v>
      </c>
      <c r="Z105" s="136">
        <v>254.816363</v>
      </c>
      <c r="AA105" s="48">
        <f>Z105*(V105/U105)</f>
        <v>479.84613877016619</v>
      </c>
      <c r="AB105" s="655">
        <f t="shared" si="178"/>
        <v>479.84613877016619</v>
      </c>
      <c r="AC105" s="48">
        <f t="shared" ref="AC105:AQ105" si="185">AB105*(X105/W105)</f>
        <v>412.90725035484746</v>
      </c>
      <c r="AD105" s="48">
        <f t="shared" si="185"/>
        <v>437.06955254752432</v>
      </c>
      <c r="AE105" s="48">
        <f t="shared" si="185"/>
        <v>426.34419769325285</v>
      </c>
      <c r="AF105" s="48">
        <f t="shared" si="185"/>
        <v>802.85117737973439</v>
      </c>
      <c r="AG105" s="655">
        <f t="shared" si="185"/>
        <v>802.85117737973439</v>
      </c>
      <c r="AH105" s="48">
        <f t="shared" si="185"/>
        <v>690.85284909377867</v>
      </c>
      <c r="AI105" s="48">
        <f t="shared" si="185"/>
        <v>731.27983432140616</v>
      </c>
      <c r="AJ105" s="48">
        <f t="shared" si="185"/>
        <v>713.33478261246307</v>
      </c>
      <c r="AK105" s="48">
        <f t="shared" si="185"/>
        <v>1343.2847759743211</v>
      </c>
      <c r="AL105" s="655">
        <f t="shared" si="185"/>
        <v>1343.2847759743211</v>
      </c>
      <c r="AM105" s="48">
        <f t="shared" si="185"/>
        <v>1155.8955641753075</v>
      </c>
      <c r="AN105" s="48">
        <f t="shared" si="185"/>
        <v>1223.5356889267537</v>
      </c>
      <c r="AO105" s="48">
        <f t="shared" si="185"/>
        <v>1193.5110524264153</v>
      </c>
      <c r="AP105" s="48">
        <f t="shared" si="185"/>
        <v>2247.5074337605733</v>
      </c>
      <c r="AQ105" s="655">
        <f t="shared" si="185"/>
        <v>2247.5074337605733</v>
      </c>
    </row>
    <row r="106" spans="1:66" ht="15.75" customHeight="1">
      <c r="B106" s="750" t="s">
        <v>162</v>
      </c>
      <c r="C106" s="732"/>
      <c r="D106" s="48"/>
      <c r="E106" s="48"/>
      <c r="F106" s="48"/>
      <c r="G106" s="48"/>
      <c r="H106" s="675">
        <f t="shared" si="175"/>
        <v>0</v>
      </c>
      <c r="I106" s="48"/>
      <c r="J106" s="48"/>
      <c r="K106" s="48"/>
      <c r="L106" s="48"/>
      <c r="M106" s="675">
        <f t="shared" si="176"/>
        <v>0</v>
      </c>
      <c r="N106" s="48"/>
      <c r="O106" s="48"/>
      <c r="P106" s="48"/>
      <c r="Q106" s="48"/>
      <c r="R106" s="675">
        <f t="shared" si="177"/>
        <v>0</v>
      </c>
      <c r="S106" s="48"/>
      <c r="T106" s="48"/>
      <c r="U106" s="48"/>
      <c r="V106" s="134"/>
      <c r="W106" s="674"/>
      <c r="X106" s="48"/>
      <c r="Y106" s="48"/>
      <c r="Z106" s="48"/>
      <c r="AA106" s="33"/>
      <c r="AB106" s="657"/>
      <c r="AC106" s="33"/>
      <c r="AD106" s="33"/>
      <c r="AE106" s="33"/>
      <c r="AF106" s="33"/>
      <c r="AG106" s="657"/>
      <c r="AH106" s="33"/>
      <c r="AI106" s="33"/>
      <c r="AJ106" s="33"/>
      <c r="AK106" s="33"/>
      <c r="AL106" s="657"/>
      <c r="AM106" s="68"/>
      <c r="AN106" s="68"/>
      <c r="AO106" s="68"/>
      <c r="AP106" s="68"/>
      <c r="AQ106" s="672"/>
    </row>
    <row r="107" spans="1:66" ht="15.75" customHeight="1">
      <c r="B107" s="750" t="s">
        <v>163</v>
      </c>
      <c r="C107" s="732"/>
      <c r="D107" s="48"/>
      <c r="E107" s="48"/>
      <c r="F107" s="48"/>
      <c r="G107" s="48"/>
      <c r="H107" s="675"/>
      <c r="I107" s="48"/>
      <c r="J107" s="48"/>
      <c r="K107" s="48"/>
      <c r="L107" s="48"/>
      <c r="M107" s="675"/>
      <c r="N107" s="48"/>
      <c r="O107" s="48"/>
      <c r="P107" s="48"/>
      <c r="Q107" s="48"/>
      <c r="R107" s="675"/>
      <c r="S107" s="48"/>
      <c r="T107" s="48"/>
      <c r="U107" s="48"/>
      <c r="V107" s="134"/>
      <c r="W107" s="674"/>
      <c r="X107" s="48"/>
      <c r="Y107" s="48"/>
      <c r="Z107" s="48"/>
      <c r="AA107" s="33"/>
      <c r="AB107" s="657"/>
      <c r="AC107" s="33"/>
      <c r="AD107" s="33"/>
      <c r="AE107" s="33"/>
      <c r="AF107" s="33"/>
      <c r="AG107" s="657"/>
      <c r="AH107" s="33"/>
      <c r="AI107" s="33"/>
      <c r="AJ107" s="33"/>
      <c r="AK107" s="33"/>
      <c r="AL107" s="657"/>
      <c r="AM107" s="68"/>
      <c r="AN107" s="68"/>
      <c r="AO107" s="68"/>
      <c r="AP107" s="68"/>
      <c r="AQ107" s="672"/>
    </row>
    <row r="108" spans="1:66" ht="15.75" customHeight="1">
      <c r="B108" s="744" t="s">
        <v>164</v>
      </c>
      <c r="C108" s="732"/>
      <c r="D108" s="42">
        <f t="shared" ref="D108:AQ108" si="186">SUM(D99:D107)</f>
        <v>3658.0859329999998</v>
      </c>
      <c r="E108" s="42">
        <f t="shared" si="186"/>
        <v>7600.0774879999999</v>
      </c>
      <c r="F108" s="42">
        <f t="shared" si="186"/>
        <v>4113.3437629999999</v>
      </c>
      <c r="G108" s="42">
        <f t="shared" si="186"/>
        <v>3178.5589259999997</v>
      </c>
      <c r="H108" s="676">
        <f t="shared" si="186"/>
        <v>3178.5589259999997</v>
      </c>
      <c r="I108" s="42">
        <f t="shared" si="186"/>
        <v>3583.6798909999998</v>
      </c>
      <c r="J108" s="42">
        <f t="shared" si="186"/>
        <v>8801.4986599999993</v>
      </c>
      <c r="K108" s="42">
        <f t="shared" si="186"/>
        <v>3303.9147189999994</v>
      </c>
      <c r="L108" s="42">
        <f t="shared" si="186"/>
        <v>3661.8287829999999</v>
      </c>
      <c r="M108" s="676">
        <f t="shared" si="186"/>
        <v>3661.8287829999999</v>
      </c>
      <c r="N108" s="42">
        <f t="shared" si="186"/>
        <v>5049.5108039999996</v>
      </c>
      <c r="O108" s="42">
        <f t="shared" si="186"/>
        <v>14569.596672</v>
      </c>
      <c r="P108" s="42">
        <f t="shared" si="186"/>
        <v>5430.0704369999994</v>
      </c>
      <c r="Q108" s="42">
        <f t="shared" si="186"/>
        <v>4229.145716</v>
      </c>
      <c r="R108" s="676">
        <f t="shared" si="186"/>
        <v>4229.145716</v>
      </c>
      <c r="S108" s="42">
        <f t="shared" si="186"/>
        <v>4713.6886269999995</v>
      </c>
      <c r="T108" s="42">
        <f t="shared" si="186"/>
        <v>16706.413970000001</v>
      </c>
      <c r="U108" s="42">
        <f t="shared" si="186"/>
        <v>4728.1464619999988</v>
      </c>
      <c r="V108" s="42">
        <f t="shared" si="186"/>
        <v>5281.9548789999999</v>
      </c>
      <c r="W108" s="676">
        <f t="shared" si="186"/>
        <v>5281.9548789999999</v>
      </c>
      <c r="X108" s="42">
        <f t="shared" si="186"/>
        <v>6760.4134340000001</v>
      </c>
      <c r="Y108" s="42">
        <f t="shared" si="186"/>
        <v>15491.089114</v>
      </c>
      <c r="Z108" s="42">
        <f t="shared" si="186"/>
        <v>6126.8864160000003</v>
      </c>
      <c r="AA108" s="42">
        <f t="shared" si="186"/>
        <v>5325.9003512969957</v>
      </c>
      <c r="AB108" s="654">
        <f t="shared" si="186"/>
        <v>5325.9003512969957</v>
      </c>
      <c r="AC108" s="42">
        <f t="shared" si="186"/>
        <v>7495.1896546726039</v>
      </c>
      <c r="AD108" s="42">
        <f t="shared" si="186"/>
        <v>11902.404998232541</v>
      </c>
      <c r="AE108" s="42">
        <f t="shared" si="186"/>
        <v>11959.858623197184</v>
      </c>
      <c r="AF108" s="42">
        <f t="shared" si="186"/>
        <v>6699.2374271976896</v>
      </c>
      <c r="AG108" s="654">
        <f t="shared" si="186"/>
        <v>6699.2374271976896</v>
      </c>
      <c r="AH108" s="42">
        <f t="shared" si="186"/>
        <v>5883.9944482953297</v>
      </c>
      <c r="AI108" s="42">
        <f t="shared" si="186"/>
        <v>7638.8850263454297</v>
      </c>
      <c r="AJ108" s="42">
        <f t="shared" si="186"/>
        <v>7647.6922035576863</v>
      </c>
      <c r="AK108" s="42">
        <f t="shared" si="186"/>
        <v>6465.7123746079214</v>
      </c>
      <c r="AL108" s="654">
        <f t="shared" si="186"/>
        <v>6465.7123746079214</v>
      </c>
      <c r="AM108" s="42">
        <f t="shared" si="186"/>
        <v>6598.5857962617938</v>
      </c>
      <c r="AN108" s="42">
        <f t="shared" si="186"/>
        <v>7830.5773668923248</v>
      </c>
      <c r="AO108" s="42">
        <f t="shared" si="186"/>
        <v>7088.0127663031171</v>
      </c>
      <c r="AP108" s="42">
        <f t="shared" si="186"/>
        <v>7627.716618259079</v>
      </c>
      <c r="AQ108" s="654">
        <f t="shared" si="186"/>
        <v>7627.716618259079</v>
      </c>
    </row>
    <row r="109" spans="1:66" ht="15.75" customHeight="1" outlineLevel="1">
      <c r="B109" s="750" t="s">
        <v>165</v>
      </c>
      <c r="C109" s="732"/>
      <c r="D109" s="48"/>
      <c r="E109" s="48"/>
      <c r="F109" s="48"/>
      <c r="G109" s="48"/>
      <c r="H109" s="675">
        <f t="shared" ref="H109:H111" si="187">G109</f>
        <v>0</v>
      </c>
      <c r="I109" s="48"/>
      <c r="J109" s="48"/>
      <c r="K109" s="48"/>
      <c r="L109" s="48"/>
      <c r="M109" s="675">
        <f t="shared" ref="M109:M111" si="188">L109</f>
        <v>0</v>
      </c>
      <c r="N109" s="48"/>
      <c r="O109" s="48"/>
      <c r="P109" s="48"/>
      <c r="Q109" s="48"/>
      <c r="R109" s="675">
        <f t="shared" ref="R109:R111" si="189">Q109</f>
        <v>0</v>
      </c>
      <c r="S109" s="48"/>
      <c r="T109" s="48"/>
      <c r="U109" s="48"/>
      <c r="V109" s="134"/>
      <c r="W109" s="674"/>
      <c r="X109" s="48"/>
      <c r="Y109" s="48"/>
      <c r="Z109" s="48"/>
      <c r="AA109" s="33"/>
      <c r="AB109" s="657"/>
      <c r="AC109" s="33"/>
      <c r="AD109" s="33"/>
      <c r="AE109" s="33"/>
      <c r="AF109" s="33"/>
      <c r="AG109" s="657"/>
      <c r="AH109" s="33"/>
      <c r="AI109" s="33"/>
      <c r="AJ109" s="33"/>
      <c r="AK109" s="33"/>
      <c r="AL109" s="657"/>
      <c r="AM109" s="145"/>
      <c r="AN109" s="145"/>
      <c r="AO109" s="145"/>
      <c r="AP109" s="145"/>
      <c r="AQ109" s="695"/>
      <c r="AR109" s="80"/>
      <c r="AS109" s="80"/>
      <c r="AT109" s="80"/>
      <c r="AU109" s="80"/>
      <c r="AV109" s="80"/>
      <c r="AW109" s="80"/>
      <c r="AX109" s="80"/>
      <c r="AY109" s="80"/>
      <c r="AZ109" s="80"/>
      <c r="BA109" s="80"/>
      <c r="BB109" s="80"/>
      <c r="BC109" s="80"/>
      <c r="BD109" s="80"/>
    </row>
    <row r="110" spans="1:66" ht="15.75" customHeight="1" outlineLevel="1">
      <c r="B110" s="743" t="s">
        <v>166</v>
      </c>
      <c r="C110" s="732"/>
      <c r="D110" s="48"/>
      <c r="E110" s="48"/>
      <c r="F110" s="48"/>
      <c r="G110" s="135">
        <v>103.707469</v>
      </c>
      <c r="H110" s="675">
        <f t="shared" si="187"/>
        <v>103.707469</v>
      </c>
      <c r="I110" s="48">
        <f>(142963721/1000000)</f>
        <v>142.96372099999999</v>
      </c>
      <c r="J110" s="135">
        <v>1439.6069090000001</v>
      </c>
      <c r="K110" s="135">
        <v>1691.332997</v>
      </c>
      <c r="L110" s="48">
        <v>1714.270164</v>
      </c>
      <c r="M110" s="675">
        <f t="shared" si="188"/>
        <v>1714.270164</v>
      </c>
      <c r="N110" s="48">
        <v>1685.9557729999999</v>
      </c>
      <c r="O110" s="48">
        <v>1553.0391239999999</v>
      </c>
      <c r="P110" s="134">
        <v>1471.952125</v>
      </c>
      <c r="Q110" s="48">
        <v>1368.3569050000001</v>
      </c>
      <c r="R110" s="675">
        <f t="shared" si="189"/>
        <v>1368.3569050000001</v>
      </c>
      <c r="S110" s="139">
        <v>1208.569025</v>
      </c>
      <c r="T110" s="48">
        <v>1049.3361319999999</v>
      </c>
      <c r="U110" s="136">
        <v>948.89459999999997</v>
      </c>
      <c r="V110" s="137">
        <v>814.53982599999995</v>
      </c>
      <c r="W110" s="681">
        <v>814.53982599999995</v>
      </c>
      <c r="X110" s="136">
        <v>665.453666</v>
      </c>
      <c r="Y110" s="136">
        <v>510.21979199999998</v>
      </c>
      <c r="Z110" s="136">
        <v>355.55891000000003</v>
      </c>
      <c r="AA110" s="33">
        <f>AA127*AA147*(1-AA152)</f>
        <v>610.90584240274382</v>
      </c>
      <c r="AB110" s="657">
        <f t="shared" ref="AB110:AB111" si="190">AA110</f>
        <v>610.90584240274382</v>
      </c>
      <c r="AC110" s="33">
        <f t="shared" ref="AC110:AF110" si="191">AC127*AC147*(1-AC152)</f>
        <v>567.20854017186377</v>
      </c>
      <c r="AD110" s="33">
        <f t="shared" si="191"/>
        <v>549.68359382291237</v>
      </c>
      <c r="AE110" s="33">
        <f t="shared" si="191"/>
        <v>557.05457195852989</v>
      </c>
      <c r="AF110" s="33">
        <f t="shared" si="191"/>
        <v>614.48945029377114</v>
      </c>
      <c r="AG110" s="657">
        <f t="shared" ref="AG110:AG111" si="192">AF110</f>
        <v>614.48945029377114</v>
      </c>
      <c r="AH110" s="33">
        <f t="shared" ref="AH110:AK110" si="193">AH127*AH147*(1-AH152)</f>
        <v>615.91053964190439</v>
      </c>
      <c r="AI110" s="33">
        <f t="shared" si="193"/>
        <v>629.45535693582315</v>
      </c>
      <c r="AJ110" s="33">
        <f t="shared" si="193"/>
        <v>650.88262163309719</v>
      </c>
      <c r="AK110" s="33">
        <f t="shared" si="193"/>
        <v>672.90701943419253</v>
      </c>
      <c r="AL110" s="657">
        <f t="shared" ref="AL110:AL111" si="194">AK110</f>
        <v>672.90701943419253</v>
      </c>
      <c r="AM110" s="33">
        <f t="shared" ref="AM110:AP110" si="195">AM127*AM147*(1-AM152)</f>
        <v>690.00548338451347</v>
      </c>
      <c r="AN110" s="33">
        <f t="shared" si="195"/>
        <v>710.83908707026956</v>
      </c>
      <c r="AO110" s="33">
        <f t="shared" si="195"/>
        <v>732.46070199235044</v>
      </c>
      <c r="AP110" s="33">
        <f t="shared" si="195"/>
        <v>750.36962438171258</v>
      </c>
      <c r="AQ110" s="657">
        <f t="shared" ref="AQ110:AQ111" si="196">AP110</f>
        <v>750.36962438171258</v>
      </c>
      <c r="AR110" s="80"/>
      <c r="AS110" s="80"/>
      <c r="AT110" s="80"/>
      <c r="AU110" s="80"/>
      <c r="AV110" s="80"/>
      <c r="AW110" s="80"/>
      <c r="AX110" s="80"/>
      <c r="AY110" s="80"/>
      <c r="AZ110" s="80"/>
      <c r="BA110" s="80"/>
      <c r="BB110" s="80"/>
      <c r="BC110" s="80"/>
      <c r="BD110" s="80"/>
    </row>
    <row r="111" spans="1:66" ht="15.75" customHeight="1" outlineLevel="1">
      <c r="B111" s="743" t="s">
        <v>167</v>
      </c>
      <c r="C111" s="732"/>
      <c r="D111" s="48">
        <v>1257.332715</v>
      </c>
      <c r="E111" s="48">
        <v>1288.7827749999999</v>
      </c>
      <c r="F111" s="48">
        <f>(1317037391/1000000)</f>
        <v>1317.0373910000001</v>
      </c>
      <c r="G111" s="48">
        <v>1274.8530169999999</v>
      </c>
      <c r="H111" s="675">
        <f t="shared" si="187"/>
        <v>1274.8530169999999</v>
      </c>
      <c r="I111" s="48">
        <f>(1269210785/1000000)</f>
        <v>1269.210785</v>
      </c>
      <c r="J111" s="135">
        <v>1195.1001160000001</v>
      </c>
      <c r="K111" s="135">
        <v>1181.4918439999999</v>
      </c>
      <c r="L111" s="48">
        <v>1178.74029</v>
      </c>
      <c r="M111" s="675">
        <f t="shared" si="188"/>
        <v>1178.74029</v>
      </c>
      <c r="N111" s="48">
        <v>1144.539076</v>
      </c>
      <c r="O111" s="48">
        <v>1141.045408</v>
      </c>
      <c r="P111" s="134">
        <v>1149.0480709999999</v>
      </c>
      <c r="Q111" s="48">
        <v>1022.15378</v>
      </c>
      <c r="R111" s="675">
        <f t="shared" si="189"/>
        <v>1022.15378</v>
      </c>
      <c r="S111" s="139">
        <v>987.01764000000003</v>
      </c>
      <c r="T111" s="48">
        <v>1104.4246599999999</v>
      </c>
      <c r="U111" s="136">
        <v>721.38668500000006</v>
      </c>
      <c r="V111" s="137">
        <v>619.08152299999995</v>
      </c>
      <c r="W111" s="681">
        <v>619.08152299999995</v>
      </c>
      <c r="X111" s="136">
        <v>706.55479200000002</v>
      </c>
      <c r="Y111" s="136">
        <v>569.086141</v>
      </c>
      <c r="Z111" s="136">
        <v>481.74314299999998</v>
      </c>
      <c r="AA111" s="33">
        <f>Z111+AA36</f>
        <v>637.94638626019241</v>
      </c>
      <c r="AB111" s="657">
        <f t="shared" si="190"/>
        <v>637.94638626019241</v>
      </c>
      <c r="AC111" s="33">
        <f t="shared" ref="AC111:AF111" si="197">AB111+AC36</f>
        <v>674.62549011378167</v>
      </c>
      <c r="AD111" s="33">
        <f t="shared" si="197"/>
        <v>647.48763111227345</v>
      </c>
      <c r="AE111" s="33">
        <f t="shared" si="197"/>
        <v>738.12970459060853</v>
      </c>
      <c r="AF111" s="33">
        <f t="shared" si="197"/>
        <v>891.08158602855906</v>
      </c>
      <c r="AG111" s="657">
        <f t="shared" si="192"/>
        <v>891.08158602855906</v>
      </c>
      <c r="AH111" s="33">
        <f t="shared" ref="AH111:AK111" si="198">AG111+AH36</f>
        <v>930.24345471533854</v>
      </c>
      <c r="AI111" s="33">
        <f t="shared" si="198"/>
        <v>900.7017685860518</v>
      </c>
      <c r="AJ111" s="33">
        <f t="shared" si="198"/>
        <v>1020.6679817107499</v>
      </c>
      <c r="AK111" s="33">
        <f t="shared" si="198"/>
        <v>1188.1023484030097</v>
      </c>
      <c r="AL111" s="657">
        <f t="shared" si="194"/>
        <v>1188.1023484030097</v>
      </c>
      <c r="AM111" s="33">
        <f t="shared" ref="AM111:AP111" si="199">AL111+AM36</f>
        <v>1238.3890873070829</v>
      </c>
      <c r="AN111" s="33">
        <f t="shared" si="199"/>
        <v>1205.8546560589768</v>
      </c>
      <c r="AO111" s="33">
        <f t="shared" si="199"/>
        <v>1452.5740291734089</v>
      </c>
      <c r="AP111" s="33">
        <f t="shared" si="199"/>
        <v>1636.8184704350592</v>
      </c>
      <c r="AQ111" s="657">
        <f t="shared" si="196"/>
        <v>1636.8184704350592</v>
      </c>
      <c r="AR111" s="80"/>
      <c r="AS111" s="80"/>
      <c r="AT111" s="80"/>
      <c r="AU111" s="80"/>
      <c r="AV111" s="80"/>
      <c r="AW111" s="80"/>
      <c r="AX111" s="80"/>
      <c r="AY111" s="80"/>
      <c r="AZ111" s="80"/>
      <c r="BA111" s="80"/>
      <c r="BB111" s="80"/>
      <c r="BC111" s="80"/>
      <c r="BD111" s="80"/>
    </row>
    <row r="112" spans="1:66" ht="15.75" customHeight="1" outlineLevel="1">
      <c r="A112" s="147"/>
      <c r="B112" s="748" t="s">
        <v>168</v>
      </c>
      <c r="C112" s="732"/>
      <c r="D112" s="64">
        <f t="shared" ref="D112:AQ112" si="200">SUM(D109:D111)</f>
        <v>1257.332715</v>
      </c>
      <c r="E112" s="64">
        <f t="shared" si="200"/>
        <v>1288.7827749999999</v>
      </c>
      <c r="F112" s="64">
        <f t="shared" si="200"/>
        <v>1317.0373910000001</v>
      </c>
      <c r="G112" s="64">
        <f t="shared" si="200"/>
        <v>1378.5604859999999</v>
      </c>
      <c r="H112" s="658">
        <f t="shared" si="200"/>
        <v>1378.5604859999999</v>
      </c>
      <c r="I112" s="64">
        <f t="shared" si="200"/>
        <v>1412.1745060000001</v>
      </c>
      <c r="J112" s="64">
        <f t="shared" si="200"/>
        <v>2634.7070250000002</v>
      </c>
      <c r="K112" s="64">
        <f t="shared" si="200"/>
        <v>2872.8248409999997</v>
      </c>
      <c r="L112" s="64">
        <f t="shared" si="200"/>
        <v>2893.0104540000002</v>
      </c>
      <c r="M112" s="658">
        <f t="shared" si="200"/>
        <v>2893.0104540000002</v>
      </c>
      <c r="N112" s="64">
        <f t="shared" si="200"/>
        <v>2830.4948489999997</v>
      </c>
      <c r="O112" s="64">
        <f t="shared" si="200"/>
        <v>2694.0845319999999</v>
      </c>
      <c r="P112" s="64">
        <f t="shared" si="200"/>
        <v>2621.000196</v>
      </c>
      <c r="Q112" s="64">
        <f t="shared" si="200"/>
        <v>2390.5106850000002</v>
      </c>
      <c r="R112" s="658">
        <f t="shared" si="200"/>
        <v>2390.5106850000002</v>
      </c>
      <c r="S112" s="64">
        <f t="shared" si="200"/>
        <v>2195.5866649999998</v>
      </c>
      <c r="T112" s="64">
        <f t="shared" si="200"/>
        <v>2153.760792</v>
      </c>
      <c r="U112" s="64">
        <f t="shared" si="200"/>
        <v>1670.281285</v>
      </c>
      <c r="V112" s="64">
        <f t="shared" si="200"/>
        <v>1433.621349</v>
      </c>
      <c r="W112" s="658">
        <f t="shared" si="200"/>
        <v>1433.621349</v>
      </c>
      <c r="X112" s="64">
        <f t="shared" si="200"/>
        <v>1372.008458</v>
      </c>
      <c r="Y112" s="64">
        <f t="shared" si="200"/>
        <v>1079.3059330000001</v>
      </c>
      <c r="Z112" s="64">
        <f t="shared" si="200"/>
        <v>837.302053</v>
      </c>
      <c r="AA112" s="64">
        <f t="shared" si="200"/>
        <v>1248.8522286629363</v>
      </c>
      <c r="AB112" s="658">
        <f t="shared" si="200"/>
        <v>1248.8522286629363</v>
      </c>
      <c r="AC112" s="64">
        <f t="shared" si="200"/>
        <v>1241.8340302856454</v>
      </c>
      <c r="AD112" s="64">
        <f t="shared" si="200"/>
        <v>1197.1712249351858</v>
      </c>
      <c r="AE112" s="64">
        <f t="shared" si="200"/>
        <v>1295.1842765491383</v>
      </c>
      <c r="AF112" s="64">
        <f t="shared" si="200"/>
        <v>1505.5710363223302</v>
      </c>
      <c r="AG112" s="658">
        <f t="shared" si="200"/>
        <v>1505.5710363223302</v>
      </c>
      <c r="AH112" s="64">
        <f t="shared" si="200"/>
        <v>1546.1539943572429</v>
      </c>
      <c r="AI112" s="64">
        <f t="shared" si="200"/>
        <v>1530.1571255218751</v>
      </c>
      <c r="AJ112" s="64">
        <f t="shared" si="200"/>
        <v>1671.5506033438471</v>
      </c>
      <c r="AK112" s="64">
        <f t="shared" si="200"/>
        <v>1861.0093678372023</v>
      </c>
      <c r="AL112" s="658">
        <f t="shared" si="200"/>
        <v>1861.0093678372023</v>
      </c>
      <c r="AM112" s="64">
        <f t="shared" si="200"/>
        <v>1928.3945706915965</v>
      </c>
      <c r="AN112" s="64">
        <f t="shared" si="200"/>
        <v>1916.6937431292463</v>
      </c>
      <c r="AO112" s="64">
        <f t="shared" si="200"/>
        <v>2185.0347311657592</v>
      </c>
      <c r="AP112" s="64">
        <f t="shared" si="200"/>
        <v>2387.1880948167718</v>
      </c>
      <c r="AQ112" s="658">
        <f t="shared" si="200"/>
        <v>2387.1880948167718</v>
      </c>
      <c r="AR112" s="148"/>
      <c r="AS112" s="148"/>
      <c r="AT112" s="148"/>
      <c r="AU112" s="148"/>
      <c r="AV112" s="148"/>
      <c r="AW112" s="148"/>
      <c r="AX112" s="148"/>
      <c r="AY112" s="148"/>
      <c r="AZ112" s="148"/>
      <c r="BA112" s="148"/>
      <c r="BB112" s="148"/>
      <c r="BC112" s="148"/>
      <c r="BD112" s="148"/>
      <c r="BE112" s="147"/>
      <c r="BF112" s="147"/>
      <c r="BG112" s="147"/>
      <c r="BH112" s="147"/>
      <c r="BI112" s="147"/>
      <c r="BJ112" s="147"/>
      <c r="BK112" s="147"/>
      <c r="BL112" s="147"/>
      <c r="BM112" s="147"/>
      <c r="BN112" s="147"/>
    </row>
    <row r="113" spans="1:66" ht="15.75" customHeight="1" outlineLevel="1">
      <c r="A113" s="69"/>
      <c r="B113" s="749" t="s">
        <v>169</v>
      </c>
      <c r="C113" s="732"/>
      <c r="D113" s="44">
        <f t="shared" ref="D113:AQ113" si="201">D108+D112</f>
        <v>4915.4186479999998</v>
      </c>
      <c r="E113" s="44">
        <f t="shared" si="201"/>
        <v>8888.8602630000005</v>
      </c>
      <c r="F113" s="44">
        <f t="shared" si="201"/>
        <v>5430.3811539999997</v>
      </c>
      <c r="G113" s="44">
        <f t="shared" si="201"/>
        <v>4557.119412</v>
      </c>
      <c r="H113" s="656">
        <f t="shared" si="201"/>
        <v>4557.119412</v>
      </c>
      <c r="I113" s="44">
        <f t="shared" si="201"/>
        <v>4995.8543970000001</v>
      </c>
      <c r="J113" s="44">
        <f t="shared" si="201"/>
        <v>11436.205684999999</v>
      </c>
      <c r="K113" s="44">
        <f t="shared" si="201"/>
        <v>6176.7395599999991</v>
      </c>
      <c r="L113" s="44">
        <f t="shared" si="201"/>
        <v>6554.8392370000001</v>
      </c>
      <c r="M113" s="656">
        <f t="shared" si="201"/>
        <v>6554.8392370000001</v>
      </c>
      <c r="N113" s="44">
        <f t="shared" si="201"/>
        <v>7880.0056529999993</v>
      </c>
      <c r="O113" s="44">
        <f t="shared" si="201"/>
        <v>17263.681204</v>
      </c>
      <c r="P113" s="44">
        <f t="shared" si="201"/>
        <v>8051.0706329999994</v>
      </c>
      <c r="Q113" s="44">
        <f t="shared" si="201"/>
        <v>6619.6564010000002</v>
      </c>
      <c r="R113" s="656">
        <f t="shared" si="201"/>
        <v>6619.6564010000002</v>
      </c>
      <c r="S113" s="44">
        <f t="shared" si="201"/>
        <v>6909.2752919999994</v>
      </c>
      <c r="T113" s="44">
        <f t="shared" si="201"/>
        <v>18860.174762000002</v>
      </c>
      <c r="U113" s="44">
        <f t="shared" si="201"/>
        <v>6398.4277469999988</v>
      </c>
      <c r="V113" s="44">
        <f t="shared" si="201"/>
        <v>6715.5762279999999</v>
      </c>
      <c r="W113" s="656">
        <f t="shared" si="201"/>
        <v>6715.5762279999999</v>
      </c>
      <c r="X113" s="44">
        <f t="shared" si="201"/>
        <v>8132.4218920000003</v>
      </c>
      <c r="Y113" s="44">
        <f t="shared" si="201"/>
        <v>16570.395047000002</v>
      </c>
      <c r="Z113" s="44">
        <f t="shared" si="201"/>
        <v>6964.1884690000006</v>
      </c>
      <c r="AA113" s="44">
        <f t="shared" si="201"/>
        <v>6574.7525799599316</v>
      </c>
      <c r="AB113" s="656">
        <f t="shared" si="201"/>
        <v>6574.7525799599316</v>
      </c>
      <c r="AC113" s="44">
        <f t="shared" si="201"/>
        <v>8737.0236849582489</v>
      </c>
      <c r="AD113" s="44">
        <f t="shared" si="201"/>
        <v>13099.576223167727</v>
      </c>
      <c r="AE113" s="44">
        <f t="shared" si="201"/>
        <v>13255.042899746322</v>
      </c>
      <c r="AF113" s="44">
        <f t="shared" si="201"/>
        <v>8204.8084635200194</v>
      </c>
      <c r="AG113" s="656">
        <f t="shared" si="201"/>
        <v>8204.8084635200194</v>
      </c>
      <c r="AH113" s="44">
        <f t="shared" si="201"/>
        <v>7430.1484426525731</v>
      </c>
      <c r="AI113" s="44">
        <f t="shared" si="201"/>
        <v>9169.0421518673047</v>
      </c>
      <c r="AJ113" s="44">
        <f t="shared" si="201"/>
        <v>9319.2428069015332</v>
      </c>
      <c r="AK113" s="44">
        <f t="shared" si="201"/>
        <v>8326.7217424451228</v>
      </c>
      <c r="AL113" s="656">
        <f t="shared" si="201"/>
        <v>8326.7217424451228</v>
      </c>
      <c r="AM113" s="44">
        <f t="shared" si="201"/>
        <v>8526.9803669533903</v>
      </c>
      <c r="AN113" s="44">
        <f t="shared" si="201"/>
        <v>9747.2711100215711</v>
      </c>
      <c r="AO113" s="44">
        <f t="shared" si="201"/>
        <v>9273.0474974688768</v>
      </c>
      <c r="AP113" s="44">
        <f t="shared" si="201"/>
        <v>10014.904713075852</v>
      </c>
      <c r="AQ113" s="656">
        <f t="shared" si="201"/>
        <v>10014.904713075852</v>
      </c>
      <c r="AR113" s="149"/>
      <c r="AS113" s="149"/>
      <c r="AT113" s="149"/>
      <c r="AU113" s="149"/>
      <c r="AV113" s="149"/>
      <c r="AW113" s="149"/>
      <c r="AX113" s="149"/>
      <c r="AY113" s="149"/>
      <c r="AZ113" s="149"/>
      <c r="BA113" s="149"/>
      <c r="BB113" s="149"/>
      <c r="BC113" s="149"/>
      <c r="BD113" s="149"/>
      <c r="BE113" s="69"/>
      <c r="BF113" s="69"/>
      <c r="BG113" s="69"/>
      <c r="BH113" s="69"/>
      <c r="BI113" s="69"/>
      <c r="BJ113" s="69"/>
      <c r="BK113" s="69"/>
      <c r="BL113" s="69"/>
      <c r="BM113" s="69"/>
      <c r="BN113" s="69"/>
    </row>
    <row r="114" spans="1:66" ht="15.75" customHeight="1" outlineLevel="1">
      <c r="B114" s="750"/>
      <c r="C114" s="732"/>
      <c r="D114" s="48"/>
      <c r="E114" s="48"/>
      <c r="F114" s="48"/>
      <c r="G114" s="48"/>
      <c r="H114" s="675">
        <f t="shared" ref="H114:H115" si="202">G114</f>
        <v>0</v>
      </c>
      <c r="I114" s="48"/>
      <c r="J114" s="48"/>
      <c r="K114" s="48"/>
      <c r="L114" s="48"/>
      <c r="M114" s="675"/>
      <c r="N114" s="48"/>
      <c r="O114" s="48"/>
      <c r="P114" s="48"/>
      <c r="Q114" s="48"/>
      <c r="R114" s="675"/>
      <c r="S114" s="48"/>
      <c r="T114" s="48"/>
      <c r="U114" s="48"/>
      <c r="V114" s="134"/>
      <c r="W114" s="674"/>
      <c r="X114" s="48"/>
      <c r="Y114" s="48"/>
      <c r="Z114" s="48"/>
      <c r="AA114" s="33"/>
      <c r="AB114" s="657"/>
      <c r="AC114" s="33"/>
      <c r="AD114" s="33"/>
      <c r="AE114" s="33"/>
      <c r="AF114" s="33"/>
      <c r="AG114" s="657"/>
      <c r="AH114" s="33"/>
      <c r="AI114" s="33"/>
      <c r="AJ114" s="33"/>
      <c r="AK114" s="33"/>
      <c r="AL114" s="657"/>
      <c r="AM114" s="145"/>
      <c r="AN114" s="145"/>
      <c r="AO114" s="145"/>
      <c r="AP114" s="145"/>
      <c r="AQ114" s="695"/>
      <c r="AR114" s="80"/>
      <c r="AS114" s="80"/>
      <c r="AT114" s="80"/>
      <c r="AU114" s="80"/>
      <c r="AV114" s="80"/>
      <c r="AW114" s="80"/>
      <c r="AX114" s="80"/>
      <c r="AY114" s="80"/>
      <c r="AZ114" s="80"/>
      <c r="BA114" s="80"/>
      <c r="BB114" s="80"/>
      <c r="BC114" s="80"/>
      <c r="BD114" s="80"/>
    </row>
    <row r="115" spans="1:66" ht="15.75" customHeight="1" outlineLevel="1">
      <c r="B115" s="750" t="s">
        <v>170</v>
      </c>
      <c r="C115" s="732"/>
      <c r="D115" s="48"/>
      <c r="E115" s="48"/>
      <c r="F115" s="48"/>
      <c r="G115" s="48"/>
      <c r="H115" s="675">
        <f t="shared" si="202"/>
        <v>0</v>
      </c>
      <c r="I115" s="48"/>
      <c r="J115" s="48"/>
      <c r="K115" s="48"/>
      <c r="L115" s="48"/>
      <c r="M115" s="675">
        <f>L115</f>
        <v>0</v>
      </c>
      <c r="N115" s="48"/>
      <c r="O115" s="48"/>
      <c r="P115" s="48"/>
      <c r="Q115" s="48"/>
      <c r="R115" s="675">
        <f>Q115</f>
        <v>0</v>
      </c>
      <c r="S115" s="48"/>
      <c r="T115" s="48"/>
      <c r="U115" s="48"/>
      <c r="V115" s="134"/>
      <c r="W115" s="674"/>
      <c r="X115" s="48"/>
      <c r="Y115" s="48"/>
      <c r="Z115" s="48"/>
      <c r="AA115" s="33"/>
      <c r="AB115" s="657"/>
      <c r="AC115" s="33"/>
      <c r="AD115" s="33"/>
      <c r="AE115" s="33"/>
      <c r="AF115" s="33"/>
      <c r="AG115" s="657"/>
      <c r="AH115" s="33"/>
      <c r="AI115" s="33"/>
      <c r="AJ115" s="33"/>
      <c r="AK115" s="33"/>
      <c r="AL115" s="657"/>
      <c r="AM115" s="145"/>
      <c r="AN115" s="145"/>
      <c r="AO115" s="145"/>
      <c r="AP115" s="145"/>
      <c r="AQ115" s="695"/>
      <c r="AR115" s="80"/>
      <c r="AS115" s="80"/>
      <c r="AT115" s="80"/>
      <c r="AU115" s="80"/>
      <c r="AV115" s="80"/>
      <c r="AW115" s="80"/>
      <c r="AX115" s="80"/>
      <c r="AY115" s="80"/>
      <c r="AZ115" s="80"/>
      <c r="BA115" s="80"/>
      <c r="BB115" s="80"/>
      <c r="BC115" s="80"/>
      <c r="BD115" s="80"/>
    </row>
    <row r="116" spans="1:66" ht="15.75" customHeight="1" outlineLevel="1">
      <c r="B116" s="751" t="s">
        <v>171</v>
      </c>
      <c r="C116" s="732"/>
      <c r="D116" s="48"/>
      <c r="E116" s="48"/>
      <c r="F116" s="48"/>
      <c r="G116" s="48"/>
      <c r="H116" s="675"/>
      <c r="I116" s="48"/>
      <c r="J116" s="48"/>
      <c r="K116" s="48"/>
      <c r="L116" s="48"/>
      <c r="M116" s="675"/>
      <c r="N116" s="48"/>
      <c r="O116" s="48"/>
      <c r="P116" s="48"/>
      <c r="Q116" s="48"/>
      <c r="R116" s="675"/>
      <c r="S116" s="139"/>
      <c r="T116" s="48"/>
      <c r="U116" s="48"/>
      <c r="V116" s="134"/>
      <c r="W116" s="674"/>
      <c r="X116" s="48"/>
      <c r="Y116" s="48"/>
      <c r="Z116" s="48"/>
      <c r="AA116" s="33"/>
      <c r="AB116" s="657"/>
      <c r="AC116" s="33"/>
      <c r="AD116" s="33"/>
      <c r="AE116" s="33"/>
      <c r="AF116" s="33"/>
      <c r="AG116" s="657"/>
      <c r="AH116" s="33"/>
      <c r="AI116" s="33"/>
      <c r="AJ116" s="33"/>
      <c r="AK116" s="33"/>
      <c r="AL116" s="657"/>
      <c r="AM116" s="145"/>
      <c r="AN116" s="145"/>
      <c r="AO116" s="145"/>
      <c r="AP116" s="145"/>
      <c r="AQ116" s="695"/>
      <c r="AR116" s="80"/>
      <c r="AS116" s="80"/>
      <c r="AT116" s="80"/>
      <c r="AU116" s="80"/>
      <c r="AV116" s="80"/>
      <c r="AW116" s="80"/>
      <c r="AX116" s="80"/>
      <c r="AY116" s="80"/>
      <c r="AZ116" s="80"/>
      <c r="BA116" s="80"/>
      <c r="BB116" s="80"/>
      <c r="BC116" s="80"/>
      <c r="BD116" s="80"/>
    </row>
    <row r="117" spans="1:66" ht="15.75" customHeight="1" outlineLevel="1">
      <c r="B117" s="750" t="s">
        <v>172</v>
      </c>
      <c r="C117" s="732"/>
      <c r="D117" s="48">
        <v>8442.3905799999993</v>
      </c>
      <c r="E117" s="48">
        <v>8864.5100999999995</v>
      </c>
      <c r="F117" s="48">
        <f>(8864510100/1000000)</f>
        <v>8864.5100999999995</v>
      </c>
      <c r="G117" s="135">
        <v>8864.5100999999995</v>
      </c>
      <c r="H117" s="675">
        <f t="shared" ref="H117:H126" si="203">G117</f>
        <v>8864.5100999999995</v>
      </c>
      <c r="I117" s="48">
        <f>(8864510100/1000000)</f>
        <v>8864.5100999999995</v>
      </c>
      <c r="J117" s="135">
        <v>8864.5100999999995</v>
      </c>
      <c r="K117" s="135">
        <v>8864.5100999999995</v>
      </c>
      <c r="L117" s="48">
        <v>8864.5100999999995</v>
      </c>
      <c r="M117" s="675">
        <f t="shared" ref="M117:M124" si="204">L117</f>
        <v>8864.5100999999995</v>
      </c>
      <c r="N117" s="48">
        <v>8864.5100999999995</v>
      </c>
      <c r="O117" s="48">
        <v>8864.5100999999995</v>
      </c>
      <c r="P117" s="134">
        <v>8864.5100999999995</v>
      </c>
      <c r="Q117" s="48">
        <v>8864.5100999999995</v>
      </c>
      <c r="R117" s="675">
        <f t="shared" ref="R117:R124" si="205">Q117</f>
        <v>8864.5100999999995</v>
      </c>
      <c r="S117" s="139">
        <v>8864.5100999999995</v>
      </c>
      <c r="T117" s="48">
        <v>8864.5100999999995</v>
      </c>
      <c r="U117" s="136">
        <v>8864.5100999999995</v>
      </c>
      <c r="V117" s="137">
        <v>8864.5100999999995</v>
      </c>
      <c r="W117" s="681">
        <v>8864.5100999999995</v>
      </c>
      <c r="X117" s="136">
        <v>8864.5100999999995</v>
      </c>
      <c r="Y117" s="136">
        <v>8864.5100999999995</v>
      </c>
      <c r="Z117" s="136">
        <v>8864.5100999999995</v>
      </c>
      <c r="AA117" s="136">
        <v>8864.5100999999995</v>
      </c>
      <c r="AB117" s="688">
        <v>8864.5100999999995</v>
      </c>
      <c r="AC117" s="136">
        <v>8864.5100999999995</v>
      </c>
      <c r="AD117" s="136">
        <v>8864.5100999999995</v>
      </c>
      <c r="AE117" s="136">
        <v>8864.5100999999995</v>
      </c>
      <c r="AF117" s="136">
        <v>8864.5100999999995</v>
      </c>
      <c r="AG117" s="688">
        <v>8864.5100999999995</v>
      </c>
      <c r="AH117" s="136">
        <v>8864.5100999999995</v>
      </c>
      <c r="AI117" s="136">
        <v>8864.5100999999995</v>
      </c>
      <c r="AJ117" s="136">
        <v>8864.5100999999995</v>
      </c>
      <c r="AK117" s="136">
        <v>8864.5100999999995</v>
      </c>
      <c r="AL117" s="688">
        <v>8864.5100999999995</v>
      </c>
      <c r="AM117" s="136">
        <v>8864.5100999999995</v>
      </c>
      <c r="AN117" s="136">
        <v>8864.5100999999904</v>
      </c>
      <c r="AO117" s="136">
        <v>8864.5100999999904</v>
      </c>
      <c r="AP117" s="136">
        <v>8864.5100999999904</v>
      </c>
      <c r="AQ117" s="688">
        <v>8864.5100999999904</v>
      </c>
      <c r="AR117" s="80"/>
      <c r="AS117" s="80"/>
      <c r="AT117" s="80"/>
      <c r="AU117" s="80"/>
      <c r="AV117" s="80"/>
      <c r="AW117" s="80"/>
      <c r="AX117" s="80"/>
      <c r="AY117" s="80"/>
      <c r="AZ117" s="80"/>
      <c r="BA117" s="80"/>
      <c r="BB117" s="80"/>
      <c r="BC117" s="80"/>
      <c r="BD117" s="80"/>
    </row>
    <row r="118" spans="1:66" ht="15.75" customHeight="1" outlineLevel="1">
      <c r="B118" s="53" t="s">
        <v>173</v>
      </c>
      <c r="C118" s="93"/>
      <c r="D118" s="48">
        <v>2035.4649999999999</v>
      </c>
      <c r="E118" s="48">
        <v>2035.4649999999999</v>
      </c>
      <c r="F118" s="48">
        <f>(2035465000/1000000)</f>
        <v>2035.4649999999999</v>
      </c>
      <c r="G118" s="48">
        <v>2035.4649999999999</v>
      </c>
      <c r="H118" s="675">
        <f t="shared" si="203"/>
        <v>2035.4649999999999</v>
      </c>
      <c r="I118" s="48">
        <f>(2035465000/1000000)</f>
        <v>2035.4649999999999</v>
      </c>
      <c r="J118" s="135">
        <v>2035.4649999999999</v>
      </c>
      <c r="K118" s="135">
        <v>2035.4649999999999</v>
      </c>
      <c r="L118" s="48">
        <v>2035.4649999999999</v>
      </c>
      <c r="M118" s="675">
        <f t="shared" si="204"/>
        <v>2035.4649999999999</v>
      </c>
      <c r="N118" s="48">
        <v>2035.4649999999999</v>
      </c>
      <c r="O118" s="48">
        <v>2035.4649999999999</v>
      </c>
      <c r="P118" s="134">
        <v>2035.4649999999999</v>
      </c>
      <c r="Q118" s="48">
        <v>2035.4649999999999</v>
      </c>
      <c r="R118" s="675">
        <f t="shared" si="205"/>
        <v>2035.4649999999999</v>
      </c>
      <c r="S118" s="139">
        <v>2035.4649999999999</v>
      </c>
      <c r="T118" s="48">
        <v>2035.4649999999999</v>
      </c>
      <c r="U118" s="136">
        <v>2035.4649999999999</v>
      </c>
      <c r="V118" s="137">
        <v>2035.4649999999999</v>
      </c>
      <c r="W118" s="681">
        <v>2035.4649999999999</v>
      </c>
      <c r="X118" s="136">
        <v>2035.4649999999999</v>
      </c>
      <c r="Y118" s="136">
        <v>2035.4649999999999</v>
      </c>
      <c r="Z118" s="136">
        <v>2035.4649999999999</v>
      </c>
      <c r="AA118" s="136">
        <v>2035.4649999999999</v>
      </c>
      <c r="AB118" s="688">
        <v>2035.4649999999999</v>
      </c>
      <c r="AC118" s="136">
        <v>2035.4649999999999</v>
      </c>
      <c r="AD118" s="136">
        <v>2035.4649999999999</v>
      </c>
      <c r="AE118" s="136">
        <v>2035.4649999999999</v>
      </c>
      <c r="AF118" s="136">
        <v>2035.4649999999999</v>
      </c>
      <c r="AG118" s="688">
        <v>2035.4649999999999</v>
      </c>
      <c r="AH118" s="136">
        <v>2035.4649999999999</v>
      </c>
      <c r="AI118" s="136">
        <v>2035.4649999999999</v>
      </c>
      <c r="AJ118" s="136">
        <v>2035.4649999999999</v>
      </c>
      <c r="AK118" s="136">
        <v>2035.4649999999999</v>
      </c>
      <c r="AL118" s="688">
        <v>2035.4649999999999</v>
      </c>
      <c r="AM118" s="136">
        <v>2035.4649999999999</v>
      </c>
      <c r="AN118" s="136">
        <v>2035.4649999999999</v>
      </c>
      <c r="AO118" s="136">
        <v>2035.4649999999999</v>
      </c>
      <c r="AP118" s="136">
        <v>2035.4649999999999</v>
      </c>
      <c r="AQ118" s="688">
        <v>2035.4649999999999</v>
      </c>
      <c r="AR118" s="80"/>
      <c r="AS118" s="80"/>
      <c r="AT118" s="80"/>
      <c r="AU118" s="80"/>
      <c r="AV118" s="80"/>
      <c r="AW118" s="80"/>
      <c r="AX118" s="80"/>
      <c r="AY118" s="80"/>
      <c r="AZ118" s="80"/>
      <c r="BA118" s="80"/>
      <c r="BB118" s="80"/>
      <c r="BC118" s="80"/>
      <c r="BD118" s="80"/>
    </row>
    <row r="119" spans="1:66" ht="15.75" customHeight="1" outlineLevel="1">
      <c r="B119" s="53" t="s">
        <v>174</v>
      </c>
      <c r="C119" s="93"/>
      <c r="D119" s="48">
        <v>105.87820000000001</v>
      </c>
      <c r="E119" s="48">
        <v>105.87820000000001</v>
      </c>
      <c r="F119" s="48">
        <f>(105878200/1000000)</f>
        <v>105.87820000000001</v>
      </c>
      <c r="G119" s="48">
        <v>105.807796000002</v>
      </c>
      <c r="H119" s="675">
        <f t="shared" si="203"/>
        <v>105.807796000002</v>
      </c>
      <c r="I119" s="48">
        <f>((105878200/1000000))-0.24728799998411</f>
        <v>105.6309120000159</v>
      </c>
      <c r="J119" s="135">
        <v>105.839196000009</v>
      </c>
      <c r="K119" s="135">
        <v>105.87820000000001</v>
      </c>
      <c r="L119" s="48">
        <v>105.66543600000399</v>
      </c>
      <c r="M119" s="675">
        <f t="shared" si="204"/>
        <v>105.66543600000399</v>
      </c>
      <c r="N119" s="48">
        <v>105.807794000016</v>
      </c>
      <c r="O119" s="48">
        <v>105.69121699997901</v>
      </c>
      <c r="P119" s="134">
        <v>105.620100999987</v>
      </c>
      <c r="Q119" s="48">
        <v>105.691219000008</v>
      </c>
      <c r="R119" s="675">
        <f t="shared" si="205"/>
        <v>105.691219000008</v>
      </c>
      <c r="S119" s="139">
        <v>105.569102000002</v>
      </c>
      <c r="T119" s="48">
        <v>105.496563999994</v>
      </c>
      <c r="U119" s="136">
        <v>105.87820000000001</v>
      </c>
      <c r="V119" s="137">
        <v>105.87820000000001</v>
      </c>
      <c r="W119" s="681">
        <v>105.87820000000001</v>
      </c>
      <c r="X119" s="136">
        <v>105.87820000000001</v>
      </c>
      <c r="Y119" s="136">
        <v>105.87820000000001</v>
      </c>
      <c r="Z119" s="136">
        <v>105.87820000000001</v>
      </c>
      <c r="AA119" s="136">
        <v>105.87820000000001</v>
      </c>
      <c r="AB119" s="688">
        <v>105.87820000000001</v>
      </c>
      <c r="AC119" s="136">
        <v>105.87820000000001</v>
      </c>
      <c r="AD119" s="136">
        <v>105.87820000000001</v>
      </c>
      <c r="AE119" s="136">
        <v>105.87820000000001</v>
      </c>
      <c r="AF119" s="136">
        <v>105.87820000000001</v>
      </c>
      <c r="AG119" s="688">
        <v>105.87820000000001</v>
      </c>
      <c r="AH119" s="136">
        <v>105.87820000000001</v>
      </c>
      <c r="AI119" s="136">
        <v>105.87820000000001</v>
      </c>
      <c r="AJ119" s="136">
        <v>105.87820000000001</v>
      </c>
      <c r="AK119" s="136">
        <v>105.87820000000001</v>
      </c>
      <c r="AL119" s="688">
        <v>105.87820000000001</v>
      </c>
      <c r="AM119" s="136">
        <v>105.87820000000001</v>
      </c>
      <c r="AN119" s="136">
        <v>105.87820000000001</v>
      </c>
      <c r="AO119" s="136">
        <v>105.87820000000001</v>
      </c>
      <c r="AP119" s="136">
        <v>105.87820000000001</v>
      </c>
      <c r="AQ119" s="688">
        <v>105.87820000000001</v>
      </c>
      <c r="AR119" s="80"/>
      <c r="AS119" s="80"/>
      <c r="AT119" s="80"/>
      <c r="AU119" s="80"/>
      <c r="AV119" s="80"/>
      <c r="AW119" s="80"/>
      <c r="AX119" s="80"/>
      <c r="AY119" s="80"/>
      <c r="AZ119" s="80"/>
      <c r="BA119" s="80"/>
      <c r="BB119" s="80"/>
      <c r="BC119" s="80"/>
      <c r="BD119" s="80"/>
    </row>
    <row r="120" spans="1:66" ht="15.75" customHeight="1" outlineLevel="1">
      <c r="B120" s="53" t="s">
        <v>175</v>
      </c>
      <c r="C120" s="93"/>
      <c r="D120" s="48"/>
      <c r="E120" s="48">
        <f>366.5584</f>
        <v>366.55840000000001</v>
      </c>
      <c r="F120" s="48">
        <f>(19751979/1000000)</f>
        <v>19.751978999999999</v>
      </c>
      <c r="G120" s="48">
        <v>1139.6261440000001</v>
      </c>
      <c r="H120" s="675">
        <f t="shared" si="203"/>
        <v>1139.6261440000001</v>
      </c>
      <c r="I120" s="48">
        <f>(1624956841/1000000)</f>
        <v>1624.9568409999999</v>
      </c>
      <c r="J120" s="135">
        <v>1123.688621</v>
      </c>
      <c r="K120" s="135">
        <v>1031.9218390000001</v>
      </c>
      <c r="L120" s="48">
        <v>830.61573999999996</v>
      </c>
      <c r="M120" s="675">
        <f t="shared" si="204"/>
        <v>830.61573999999996</v>
      </c>
      <c r="N120" s="48">
        <v>713.18153600000005</v>
      </c>
      <c r="O120" s="48">
        <v>606.43998199999999</v>
      </c>
      <c r="P120" s="134">
        <v>643.775757</v>
      </c>
      <c r="Q120" s="48">
        <v>734.507296</v>
      </c>
      <c r="R120" s="675">
        <f t="shared" si="205"/>
        <v>734.507296</v>
      </c>
      <c r="S120" s="139">
        <v>823.15140199999996</v>
      </c>
      <c r="T120" s="48">
        <v>735.82154500000001</v>
      </c>
      <c r="U120" s="136">
        <v>406.97239200000001</v>
      </c>
      <c r="V120" s="137">
        <v>-275.040481</v>
      </c>
      <c r="W120" s="681">
        <v>-275.040481</v>
      </c>
      <c r="X120" s="136">
        <v>444.23683599999998</v>
      </c>
      <c r="Y120" s="136">
        <v>-167.90943100000001</v>
      </c>
      <c r="Z120" s="136">
        <v>-536.71270100000004</v>
      </c>
      <c r="AA120" s="33">
        <f>Z120+(AA125-Z125)*0.15-AA36</f>
        <v>-692.91594426019242</v>
      </c>
      <c r="AB120" s="657">
        <f t="shared" ref="AB120:AB124" si="206">AA120</f>
        <v>-692.91594426019242</v>
      </c>
      <c r="AC120" s="33">
        <f t="shared" ref="AC120:AF120" si="207">AB120+(AC125-AB125)*0.15-AC36</f>
        <v>-729.59504811378167</v>
      </c>
      <c r="AD120" s="33">
        <f t="shared" si="207"/>
        <v>-702.45718911227345</v>
      </c>
      <c r="AE120" s="33">
        <f t="shared" si="207"/>
        <v>-793.09926259060853</v>
      </c>
      <c r="AF120" s="33">
        <f t="shared" si="207"/>
        <v>-946.05114402855907</v>
      </c>
      <c r="AG120" s="657">
        <f t="shared" ref="AG120:AG124" si="208">AF120</f>
        <v>-946.05114402855907</v>
      </c>
      <c r="AH120" s="33">
        <f t="shared" ref="AH120:AK120" si="209">AG120+(AH125-AG125)*0.15-AH36</f>
        <v>-985.21301271533855</v>
      </c>
      <c r="AI120" s="33">
        <f t="shared" si="209"/>
        <v>-955.6713265860518</v>
      </c>
      <c r="AJ120" s="33">
        <f t="shared" si="209"/>
        <v>-1075.6375397107499</v>
      </c>
      <c r="AK120" s="33">
        <f t="shared" si="209"/>
        <v>-1243.0719064030097</v>
      </c>
      <c r="AL120" s="657">
        <f t="shared" ref="AL120:AL124" si="210">AK120</f>
        <v>-1243.0719064030097</v>
      </c>
      <c r="AM120" s="33">
        <f t="shared" ref="AM120:AP120" si="211">AL120+(AM125-AL125)*0.15-AM36</f>
        <v>-1293.358645307083</v>
      </c>
      <c r="AN120" s="33">
        <f t="shared" si="211"/>
        <v>-1260.8242140589768</v>
      </c>
      <c r="AO120" s="33">
        <f t="shared" si="211"/>
        <v>-1507.5435871734089</v>
      </c>
      <c r="AP120" s="33">
        <f t="shared" si="211"/>
        <v>-1691.7880284350592</v>
      </c>
      <c r="AQ120" s="657">
        <f t="shared" ref="AQ120:AQ124" si="212">AP120</f>
        <v>-1691.7880284350592</v>
      </c>
      <c r="AR120" s="80"/>
      <c r="AS120" s="80"/>
      <c r="AT120" s="80"/>
      <c r="AU120" s="80"/>
      <c r="AV120" s="80"/>
      <c r="AW120" s="80"/>
      <c r="AX120" s="80"/>
      <c r="AY120" s="80"/>
      <c r="AZ120" s="80"/>
      <c r="BA120" s="80"/>
      <c r="BB120" s="80"/>
      <c r="BC120" s="80"/>
      <c r="BD120" s="80"/>
    </row>
    <row r="121" spans="1:66" ht="15.75" customHeight="1" outlineLevel="1">
      <c r="B121" s="53" t="s">
        <v>176</v>
      </c>
      <c r="C121" s="93"/>
      <c r="D121" s="48">
        <v>2211.7439359999998</v>
      </c>
      <c r="E121" s="48">
        <v>2211.7439359999998</v>
      </c>
      <c r="F121" s="48">
        <f>(2211743936/1000000)</f>
        <v>2211.7439359999998</v>
      </c>
      <c r="G121" s="48"/>
      <c r="H121" s="675">
        <f t="shared" si="203"/>
        <v>0</v>
      </c>
      <c r="I121" s="48"/>
      <c r="J121" s="48"/>
      <c r="K121" s="48"/>
      <c r="L121" s="48"/>
      <c r="M121" s="675">
        <f t="shared" si="204"/>
        <v>0</v>
      </c>
      <c r="N121" s="48"/>
      <c r="O121" s="48"/>
      <c r="P121" s="48"/>
      <c r="Q121" s="48">
        <v>133.39887999999999</v>
      </c>
      <c r="R121" s="675">
        <f t="shared" si="205"/>
        <v>133.39887999999999</v>
      </c>
      <c r="S121" s="139">
        <v>320</v>
      </c>
      <c r="T121" s="48">
        <v>467.23004400000002</v>
      </c>
      <c r="U121" s="136">
        <v>949.12204499999996</v>
      </c>
      <c r="V121" s="137">
        <v>951.51161200000001</v>
      </c>
      <c r="W121" s="681">
        <v>951.51161200000001</v>
      </c>
      <c r="X121" s="136">
        <v>1019.553108</v>
      </c>
      <c r="Y121" s="136">
        <v>1674.592803</v>
      </c>
      <c r="Z121" s="136">
        <v>2095.0960879999998</v>
      </c>
      <c r="AA121" s="150">
        <f>Z121+AA39*4.2%</f>
        <v>2371.8693280204711</v>
      </c>
      <c r="AB121" s="689">
        <f t="shared" si="206"/>
        <v>2371.8693280204711</v>
      </c>
      <c r="AC121" s="150">
        <f t="shared" ref="AC121:AF121" si="213">AB121+AC39*4.2%</f>
        <v>2702.5913265073268</v>
      </c>
      <c r="AD121" s="150">
        <f t="shared" si="213"/>
        <v>3024.2277215959161</v>
      </c>
      <c r="AE121" s="150">
        <f t="shared" si="213"/>
        <v>3334.2816886424853</v>
      </c>
      <c r="AF121" s="150">
        <f t="shared" si="213"/>
        <v>3605.0597327154846</v>
      </c>
      <c r="AG121" s="689">
        <f t="shared" si="208"/>
        <v>3605.0597327154846</v>
      </c>
      <c r="AH121" s="150">
        <f t="shared" ref="AH121:AK121" si="214">AG121+AH39*4.2%</f>
        <v>3956.8385775851643</v>
      </c>
      <c r="AI121" s="150">
        <f t="shared" si="214"/>
        <v>4302.4127160229709</v>
      </c>
      <c r="AJ121" s="150">
        <f t="shared" si="214"/>
        <v>4645.4676493089664</v>
      </c>
      <c r="AK121" s="150">
        <f t="shared" si="214"/>
        <v>4938.4019541110383</v>
      </c>
      <c r="AL121" s="689">
        <f t="shared" si="210"/>
        <v>4938.4019541110383</v>
      </c>
      <c r="AM121" s="150">
        <f t="shared" ref="AM121:AP121" si="215">AL121+AM39*4.2%</f>
        <v>5324.819895489487</v>
      </c>
      <c r="AN121" s="150">
        <f t="shared" si="215"/>
        <v>5701.6704875919177</v>
      </c>
      <c r="AO121" s="150">
        <f t="shared" si="215"/>
        <v>6082.9674785864745</v>
      </c>
      <c r="AP121" s="150">
        <f t="shared" si="215"/>
        <v>6401.7587703843255</v>
      </c>
      <c r="AQ121" s="689">
        <f t="shared" si="212"/>
        <v>6401.7587703843255</v>
      </c>
      <c r="AR121" s="80"/>
      <c r="AS121" s="80"/>
      <c r="AT121" s="80"/>
      <c r="AU121" s="80"/>
      <c r="AV121" s="80"/>
      <c r="AW121" s="80"/>
      <c r="AX121" s="80"/>
      <c r="AY121" s="80"/>
      <c r="AZ121" s="80"/>
      <c r="BA121" s="80"/>
      <c r="BB121" s="80"/>
      <c r="BC121" s="80"/>
      <c r="BD121" s="80"/>
    </row>
    <row r="122" spans="1:66" ht="15.75" customHeight="1" outlineLevel="1">
      <c r="B122" s="53" t="s">
        <v>177</v>
      </c>
      <c r="C122" s="93"/>
      <c r="D122" s="48">
        <v>-32.730547999999999</v>
      </c>
      <c r="E122" s="48">
        <v>-35.960197999999998</v>
      </c>
      <c r="F122" s="48">
        <f>-(42324901/1000000)</f>
        <v>-42.324900999999997</v>
      </c>
      <c r="G122" s="48">
        <v>-0.285055</v>
      </c>
      <c r="H122" s="675">
        <f t="shared" si="203"/>
        <v>-0.285055</v>
      </c>
      <c r="I122" s="48">
        <f>-(14497267/1000000)</f>
        <v>-14.497267000000001</v>
      </c>
      <c r="J122" s="135">
        <v>-35.498105000000002</v>
      </c>
      <c r="K122" s="135">
        <v>-47.444274</v>
      </c>
      <c r="L122" s="48">
        <v>8.9980709999999995</v>
      </c>
      <c r="M122" s="675">
        <f t="shared" si="204"/>
        <v>8.9980709999999995</v>
      </c>
      <c r="N122" s="48">
        <v>63.037837000000003</v>
      </c>
      <c r="O122" s="48">
        <v>91.248397999999995</v>
      </c>
      <c r="P122" s="134">
        <v>26.321808000000001</v>
      </c>
      <c r="Q122" s="48">
        <v>-16.905546000000001</v>
      </c>
      <c r="R122" s="675">
        <f t="shared" si="205"/>
        <v>-16.905546000000001</v>
      </c>
      <c r="S122" s="139">
        <v>-42.970705000000002</v>
      </c>
      <c r="T122" s="48">
        <v>-79.254633999999996</v>
      </c>
      <c r="U122" s="136">
        <v>41.232016999999999</v>
      </c>
      <c r="V122" s="137">
        <v>97.906017000000006</v>
      </c>
      <c r="W122" s="681">
        <v>97.906017000000006</v>
      </c>
      <c r="X122" s="136">
        <v>124.72198</v>
      </c>
      <c r="Y122" s="136">
        <v>124.606724</v>
      </c>
      <c r="Z122" s="136">
        <v>131.49156099999999</v>
      </c>
      <c r="AA122" s="48">
        <f>Z122*(1+Workings!BF7)</f>
        <v>135.0634259419316</v>
      </c>
      <c r="AB122" s="655">
        <f t="shared" si="206"/>
        <v>135.0634259419316</v>
      </c>
      <c r="AC122" s="48">
        <f>AA122*(1+Workings!$BF$7)</f>
        <v>138.73231778860426</v>
      </c>
      <c r="AD122" s="48">
        <f>AC122*(1+Workings!$BF$7)</f>
        <v>142.50087219965147</v>
      </c>
      <c r="AE122" s="48">
        <f>AD122*(1+Workings!$BF$7)</f>
        <v>146.37179643032977</v>
      </c>
      <c r="AF122" s="48">
        <f>AE122*(1+Workings!$BF$7)</f>
        <v>150.34787127635769</v>
      </c>
      <c r="AG122" s="655">
        <f t="shared" si="208"/>
        <v>150.34787127635769</v>
      </c>
      <c r="AH122" s="48">
        <f>AF122*(1+Workings!$BF$7)</f>
        <v>154.43195307158462</v>
      </c>
      <c r="AI122" s="48">
        <f>AH122*(1+Workings!$BF$7)</f>
        <v>158.62697573992469</v>
      </c>
      <c r="AJ122" s="48">
        <f>AI122*(1+Workings!$BF$7)</f>
        <v>162.93595290303003</v>
      </c>
      <c r="AK122" s="48">
        <f>AJ122*(1+Workings!$BF$7)</f>
        <v>167.36198004521714</v>
      </c>
      <c r="AL122" s="655">
        <f t="shared" si="210"/>
        <v>167.36198004521714</v>
      </c>
      <c r="AM122" s="48">
        <f>AK122*(1+Workings!$BF$7)</f>
        <v>171.90823673720189</v>
      </c>
      <c r="AN122" s="48">
        <f>AM122*(1+Workings!$BF$7)</f>
        <v>176.57798892024041</v>
      </c>
      <c r="AO122" s="48">
        <f>AN122*(1+Workings!$BF$7)</f>
        <v>181.37459125231703</v>
      </c>
      <c r="AP122" s="48">
        <f>AO122*(1+Workings!$BF$7)</f>
        <v>186.3014895180645</v>
      </c>
      <c r="AQ122" s="655">
        <f t="shared" si="212"/>
        <v>186.3014895180645</v>
      </c>
      <c r="AR122" s="80"/>
      <c r="AS122" s="80"/>
      <c r="AT122" s="80"/>
      <c r="AU122" s="80"/>
      <c r="AV122" s="80"/>
      <c r="AW122" s="80"/>
      <c r="AX122" s="80"/>
      <c r="AY122" s="80"/>
      <c r="AZ122" s="80"/>
      <c r="BA122" s="80"/>
      <c r="BB122" s="80"/>
      <c r="BC122" s="80"/>
      <c r="BD122" s="80"/>
    </row>
    <row r="123" spans="1:66" ht="15.75" customHeight="1" outlineLevel="1">
      <c r="B123" s="53" t="s">
        <v>178</v>
      </c>
      <c r="C123" s="93"/>
      <c r="D123" s="48"/>
      <c r="E123" s="48">
        <v>0.4</v>
      </c>
      <c r="F123" s="48">
        <f>(400000/1000000)</f>
        <v>0.4</v>
      </c>
      <c r="G123" s="135">
        <v>0.5</v>
      </c>
      <c r="H123" s="675">
        <f t="shared" si="203"/>
        <v>0.5</v>
      </c>
      <c r="I123" s="48">
        <f>(474110/1000000)</f>
        <v>0.47410999999999998</v>
      </c>
      <c r="J123" s="135">
        <v>0.49585600000000002</v>
      </c>
      <c r="K123" s="135">
        <v>0.48871399999999998</v>
      </c>
      <c r="L123" s="48">
        <v>0.46963199999999999</v>
      </c>
      <c r="M123" s="675">
        <f t="shared" si="204"/>
        <v>0.46963199999999999</v>
      </c>
      <c r="N123" s="48">
        <v>0.44623800000000002</v>
      </c>
      <c r="O123" s="48">
        <v>0.420483</v>
      </c>
      <c r="P123" s="134">
        <v>0.25245299999999998</v>
      </c>
      <c r="Q123" s="48">
        <v>0.70937600000000001</v>
      </c>
      <c r="R123" s="675">
        <f t="shared" si="205"/>
        <v>0.70937600000000001</v>
      </c>
      <c r="S123" s="139">
        <v>1.045228</v>
      </c>
      <c r="T123" s="48">
        <v>1.3091600000000001</v>
      </c>
      <c r="U123" s="136">
        <v>2.1748430000000001</v>
      </c>
      <c r="V123" s="137">
        <v>2.3184779999999998</v>
      </c>
      <c r="W123" s="681">
        <v>2.3184779999999998</v>
      </c>
      <c r="X123" s="136">
        <v>3.0572379999999999</v>
      </c>
      <c r="Y123" s="136">
        <v>3.8704040000000002</v>
      </c>
      <c r="Z123" s="136">
        <v>4.783296</v>
      </c>
      <c r="AA123" s="33">
        <f>Z123+Workings!AG7+AA125</f>
        <v>5.7623505138578679</v>
      </c>
      <c r="AB123" s="657">
        <f t="shared" si="206"/>
        <v>5.7623505138578679</v>
      </c>
      <c r="AC123" s="33">
        <f>AB123+Workings!AI7+AC125</f>
        <v>6.8126422920830843</v>
      </c>
      <c r="AD123" s="33">
        <f>AC123+Workings!AJ7+AD125</f>
        <v>7.9393546495602791</v>
      </c>
      <c r="AE123" s="33">
        <f>AD123+Workings!AK7+AE125</f>
        <v>9.1480480458248756</v>
      </c>
      <c r="AF123" s="33">
        <f>AE123+Workings!AL7+AF125</f>
        <v>10.444687526592453</v>
      </c>
      <c r="AG123" s="657">
        <f t="shared" si="208"/>
        <v>10.444687526592453</v>
      </c>
      <c r="AH123" s="33">
        <f>AG123+Workings!AN7+AH125</f>
        <v>11.835672161969054</v>
      </c>
      <c r="AI123" s="33">
        <f>AH123+Workings!AO7+AI125</f>
        <v>13.327866626623482</v>
      </c>
      <c r="AJ123" s="33">
        <f>AI123+Workings!AP7+AJ125</f>
        <v>14.928635077773533</v>
      </c>
      <c r="AK123" s="33">
        <f>AJ123+Workings!AQ7+AK125</f>
        <v>16.64587749817801</v>
      </c>
      <c r="AL123" s="657">
        <f t="shared" si="210"/>
        <v>16.64587749817801</v>
      </c>
      <c r="AM123" s="33">
        <f>AL123+Workings!AS7+AM125</f>
        <v>18.488068683491544</v>
      </c>
      <c r="AN123" s="33">
        <f>AM123+Workings!AT7+AN125</f>
        <v>20.464300066389452</v>
      </c>
      <c r="AO123" s="33">
        <f>AN123+Workings!AU7+AO125</f>
        <v>22.584324583869634</v>
      </c>
      <c r="AP123" s="33">
        <f>AO123+Workings!AV7+AP125</f>
        <v>24.858604809157036</v>
      </c>
      <c r="AQ123" s="657">
        <f t="shared" si="212"/>
        <v>24.858604809157036</v>
      </c>
      <c r="AR123" s="80"/>
      <c r="AS123" s="80"/>
      <c r="AT123" s="80"/>
      <c r="AU123" s="80"/>
      <c r="AV123" s="80"/>
      <c r="AW123" s="80"/>
      <c r="AX123" s="80"/>
      <c r="AY123" s="80"/>
      <c r="AZ123" s="80"/>
      <c r="BA123" s="80"/>
      <c r="BB123" s="80"/>
      <c r="BC123" s="80"/>
      <c r="BD123" s="80"/>
    </row>
    <row r="124" spans="1:66" ht="15.75" customHeight="1" outlineLevel="1">
      <c r="B124" s="743" t="s">
        <v>179</v>
      </c>
      <c r="C124" s="732"/>
      <c r="D124" s="48">
        <v>68913.037062999996</v>
      </c>
      <c r="E124" s="48">
        <v>68420.444721000007</v>
      </c>
      <c r="F124" s="48">
        <f>(72282507644/1000000)</f>
        <v>72282.507643999998</v>
      </c>
      <c r="G124" s="135">
        <v>78749.448778999998</v>
      </c>
      <c r="H124" s="675">
        <f t="shared" si="203"/>
        <v>78749.448778999998</v>
      </c>
      <c r="I124" s="48">
        <f>(83746120931/1000000)</f>
        <v>83746.120930999998</v>
      </c>
      <c r="J124" s="135">
        <v>83071.746744999997</v>
      </c>
      <c r="K124" s="135">
        <v>87641.287811999995</v>
      </c>
      <c r="L124" s="48">
        <v>93357.093286999996</v>
      </c>
      <c r="M124" s="675">
        <f t="shared" si="204"/>
        <v>93357.093286999996</v>
      </c>
      <c r="N124" s="48">
        <v>97107.829213999998</v>
      </c>
      <c r="O124" s="48">
        <v>93369.495712999997</v>
      </c>
      <c r="P124" s="134">
        <v>97652.536141000004</v>
      </c>
      <c r="Q124" s="48">
        <v>103339.08545899999</v>
      </c>
      <c r="R124" s="675">
        <f t="shared" si="205"/>
        <v>103339.08545899999</v>
      </c>
      <c r="S124" s="139">
        <v>109152.506832</v>
      </c>
      <c r="T124" s="48">
        <v>104942.87936000001</v>
      </c>
      <c r="U124" s="136">
        <v>109383.71769600001</v>
      </c>
      <c r="V124" s="137">
        <v>114139.071906</v>
      </c>
      <c r="W124" s="681">
        <v>114139.071906</v>
      </c>
      <c r="X124" s="136">
        <v>120162.94798</v>
      </c>
      <c r="Y124" s="136">
        <v>116359.875096</v>
      </c>
      <c r="Z124" s="136">
        <v>121990.07388700001</v>
      </c>
      <c r="AA124" s="48">
        <f>Z124+AA39+AA207</f>
        <v>125812.18053490175</v>
      </c>
      <c r="AB124" s="655">
        <f t="shared" si="206"/>
        <v>125812.18053490175</v>
      </c>
      <c r="AC124" s="48">
        <f t="shared" ref="AC124:AF124" si="216">AB124+AC39+AC207</f>
        <v>130379.29384733927</v>
      </c>
      <c r="AD124" s="48">
        <f t="shared" si="216"/>
        <v>134820.93930332456</v>
      </c>
      <c r="AE124" s="48">
        <f t="shared" si="216"/>
        <v>139102.63694349147</v>
      </c>
      <c r="AF124" s="48">
        <f t="shared" si="216"/>
        <v>142841.95279021387</v>
      </c>
      <c r="AG124" s="655">
        <f t="shared" si="208"/>
        <v>142841.95279021387</v>
      </c>
      <c r="AH124" s="48">
        <f t="shared" ref="AH124:AK124" si="217">AG124+AH39+AH207</f>
        <v>147699.8511241285</v>
      </c>
      <c r="AI124" s="48">
        <f t="shared" si="217"/>
        <v>152472.06541684107</v>
      </c>
      <c r="AJ124" s="48">
        <f t="shared" si="217"/>
        <v>157209.49068602864</v>
      </c>
      <c r="AK124" s="48">
        <f t="shared" si="217"/>
        <v>161254.77394281916</v>
      </c>
      <c r="AL124" s="655">
        <f t="shared" si="210"/>
        <v>161254.77394281916</v>
      </c>
      <c r="AM124" s="48">
        <f t="shared" ref="AM124:AP124" si="218">AL124+AM39+AM207</f>
        <v>166591.02170471204</v>
      </c>
      <c r="AN124" s="48">
        <f t="shared" si="218"/>
        <v>171795.14892898369</v>
      </c>
      <c r="AO124" s="48">
        <f t="shared" si="218"/>
        <v>177060.67880462282</v>
      </c>
      <c r="AP124" s="48">
        <f t="shared" si="218"/>
        <v>181463.03473897409</v>
      </c>
      <c r="AQ124" s="655">
        <f t="shared" si="212"/>
        <v>181463.03473897409</v>
      </c>
    </row>
    <row r="125" spans="1:66" ht="15.75" customHeight="1" outlineLevel="1">
      <c r="B125" s="146" t="s">
        <v>180</v>
      </c>
      <c r="C125" s="151"/>
      <c r="D125" s="48">
        <v>325.56172099999998</v>
      </c>
      <c r="E125" s="48"/>
      <c r="F125" s="48"/>
      <c r="G125" s="48"/>
      <c r="H125" s="675">
        <f t="shared" si="203"/>
        <v>0</v>
      </c>
      <c r="I125" s="48"/>
      <c r="J125" s="135"/>
      <c r="K125" s="135"/>
      <c r="L125" s="48"/>
      <c r="M125" s="675"/>
      <c r="N125" s="135"/>
      <c r="O125" s="135"/>
      <c r="P125" s="135"/>
      <c r="Q125" s="135"/>
      <c r="R125" s="675"/>
      <c r="S125" s="135"/>
      <c r="T125" s="135"/>
      <c r="U125" s="134"/>
      <c r="V125" s="134"/>
      <c r="W125" s="674"/>
      <c r="X125" s="134"/>
      <c r="Y125" s="134"/>
      <c r="Z125" s="134"/>
      <c r="AA125" s="152"/>
      <c r="AB125" s="690"/>
      <c r="AC125" s="152"/>
      <c r="AD125" s="152"/>
      <c r="AE125" s="152"/>
      <c r="AF125" s="152"/>
      <c r="AG125" s="690"/>
      <c r="AH125" s="152"/>
      <c r="AI125" s="152"/>
      <c r="AJ125" s="33"/>
      <c r="AK125" s="33"/>
      <c r="AL125" s="657"/>
      <c r="AM125" s="145"/>
      <c r="AN125" s="145"/>
      <c r="AO125" s="145"/>
      <c r="AP125" s="145"/>
      <c r="AQ125" s="695"/>
      <c r="AR125" s="80"/>
      <c r="AS125" s="80"/>
      <c r="AT125" s="80"/>
      <c r="AU125" s="80"/>
      <c r="AV125" s="80"/>
      <c r="AW125" s="80"/>
      <c r="AX125" s="80"/>
      <c r="AY125" s="80"/>
      <c r="AZ125" s="80"/>
      <c r="BA125" s="80"/>
      <c r="BB125" s="80"/>
      <c r="BC125" s="80"/>
      <c r="BD125" s="80"/>
    </row>
    <row r="126" spans="1:66" ht="15.75" customHeight="1" outlineLevel="1">
      <c r="B126" s="743" t="s">
        <v>181</v>
      </c>
      <c r="C126" s="732"/>
      <c r="D126" s="153"/>
      <c r="E126" s="153"/>
      <c r="F126" s="153"/>
      <c r="G126" s="153"/>
      <c r="H126" s="678">
        <f t="shared" si="203"/>
        <v>0</v>
      </c>
      <c r="I126" s="153"/>
      <c r="J126" s="153"/>
      <c r="K126" s="153"/>
      <c r="L126" s="153"/>
      <c r="M126" s="678">
        <f>L126</f>
        <v>0</v>
      </c>
      <c r="N126" s="153"/>
      <c r="O126" s="153"/>
      <c r="P126" s="153"/>
      <c r="Q126" s="153"/>
      <c r="R126" s="678">
        <f>Q126</f>
        <v>0</v>
      </c>
      <c r="S126" s="153"/>
      <c r="T126" s="153"/>
      <c r="U126" s="153"/>
      <c r="V126" s="154"/>
      <c r="W126" s="683"/>
      <c r="X126" s="153"/>
      <c r="Y126" s="153"/>
      <c r="Z126" s="153"/>
      <c r="AA126" s="33"/>
      <c r="AB126" s="657"/>
      <c r="AC126" s="33"/>
      <c r="AD126" s="33"/>
      <c r="AE126" s="33"/>
      <c r="AF126" s="33"/>
      <c r="AG126" s="657"/>
      <c r="AH126" s="33"/>
      <c r="AI126" s="33"/>
      <c r="AJ126" s="33"/>
      <c r="AK126" s="33"/>
      <c r="AL126" s="657"/>
      <c r="AM126" s="145"/>
      <c r="AN126" s="145"/>
      <c r="AO126" s="145"/>
      <c r="AP126" s="145"/>
      <c r="AQ126" s="695"/>
      <c r="AR126" s="80"/>
      <c r="AS126" s="80"/>
      <c r="AT126" s="80"/>
      <c r="AU126" s="80"/>
      <c r="AV126" s="80"/>
      <c r="AW126" s="80"/>
      <c r="AX126" s="80"/>
      <c r="AY126" s="80"/>
      <c r="AZ126" s="80"/>
      <c r="BA126" s="80"/>
      <c r="BB126" s="80"/>
      <c r="BC126" s="80"/>
      <c r="BD126" s="80"/>
    </row>
    <row r="127" spans="1:66" ht="15.75" customHeight="1" outlineLevel="1">
      <c r="B127" s="744" t="s">
        <v>182</v>
      </c>
      <c r="C127" s="732"/>
      <c r="D127" s="155">
        <f t="shared" ref="D127:X127" si="219">SUM(D117:D126)</f>
        <v>82001.345952000003</v>
      </c>
      <c r="E127" s="155">
        <f t="shared" si="219"/>
        <v>81969.040159000011</v>
      </c>
      <c r="F127" s="155">
        <f t="shared" si="219"/>
        <v>85477.931958000001</v>
      </c>
      <c r="G127" s="155">
        <f t="shared" si="219"/>
        <v>90895.072763999997</v>
      </c>
      <c r="H127" s="679">
        <f t="shared" si="219"/>
        <v>90895.072763999997</v>
      </c>
      <c r="I127" s="155">
        <f t="shared" si="219"/>
        <v>96362.660627000005</v>
      </c>
      <c r="J127" s="155">
        <f t="shared" si="219"/>
        <v>95166.247413000005</v>
      </c>
      <c r="K127" s="155">
        <f t="shared" si="219"/>
        <v>99632.107390999998</v>
      </c>
      <c r="L127" s="155">
        <f t="shared" si="219"/>
        <v>105202.817266</v>
      </c>
      <c r="M127" s="679">
        <f t="shared" si="219"/>
        <v>105202.817266</v>
      </c>
      <c r="N127" s="155">
        <f t="shared" si="219"/>
        <v>108890.27771900002</v>
      </c>
      <c r="O127" s="155">
        <f t="shared" si="219"/>
        <v>105073.27089299998</v>
      </c>
      <c r="P127" s="155">
        <f t="shared" si="219"/>
        <v>109328.48135999999</v>
      </c>
      <c r="Q127" s="155">
        <f t="shared" si="219"/>
        <v>115196.461784</v>
      </c>
      <c r="R127" s="679">
        <f t="shared" si="219"/>
        <v>115196.461784</v>
      </c>
      <c r="S127" s="155">
        <f t="shared" si="219"/>
        <v>121259.276959</v>
      </c>
      <c r="T127" s="156">
        <f t="shared" si="219"/>
        <v>117073.45713900001</v>
      </c>
      <c r="U127" s="156">
        <f t="shared" si="219"/>
        <v>121789.072293</v>
      </c>
      <c r="V127" s="156">
        <f t="shared" si="219"/>
        <v>125921.620832</v>
      </c>
      <c r="W127" s="684">
        <f t="shared" si="219"/>
        <v>125921.620832</v>
      </c>
      <c r="X127" s="155">
        <f t="shared" si="219"/>
        <v>132760.37044199998</v>
      </c>
      <c r="Y127" s="157">
        <v>129000.88896</v>
      </c>
      <c r="Z127" s="42">
        <f t="shared" ref="Z127:AQ127" si="220">SUM(Z117:Z126)</f>
        <v>134690.58543100001</v>
      </c>
      <c r="AA127" s="42">
        <f t="shared" si="220"/>
        <v>138637.81299511783</v>
      </c>
      <c r="AB127" s="654">
        <f t="shared" si="220"/>
        <v>138637.81299511783</v>
      </c>
      <c r="AC127" s="42">
        <f t="shared" si="220"/>
        <v>143503.6883858135</v>
      </c>
      <c r="AD127" s="42">
        <f t="shared" si="220"/>
        <v>148299.00336265741</v>
      </c>
      <c r="AE127" s="42">
        <f t="shared" si="220"/>
        <v>152805.19251401949</v>
      </c>
      <c r="AF127" s="42">
        <f t="shared" si="220"/>
        <v>156667.60723770375</v>
      </c>
      <c r="AG127" s="654">
        <f t="shared" si="220"/>
        <v>156667.60723770375</v>
      </c>
      <c r="AH127" s="42">
        <f t="shared" si="220"/>
        <v>161843.59761423187</v>
      </c>
      <c r="AI127" s="42">
        <f t="shared" si="220"/>
        <v>166996.61494864454</v>
      </c>
      <c r="AJ127" s="42">
        <f t="shared" si="220"/>
        <v>171963.03868360765</v>
      </c>
      <c r="AK127" s="42">
        <f t="shared" si="220"/>
        <v>176139.96514807059</v>
      </c>
      <c r="AL127" s="654">
        <f t="shared" si="220"/>
        <v>176139.96514807059</v>
      </c>
      <c r="AM127" s="42">
        <f t="shared" si="220"/>
        <v>181818.73256031514</v>
      </c>
      <c r="AN127" s="42">
        <f t="shared" si="220"/>
        <v>187438.89079150325</v>
      </c>
      <c r="AO127" s="42">
        <f t="shared" si="220"/>
        <v>192845.91491187207</v>
      </c>
      <c r="AP127" s="42">
        <f t="shared" si="220"/>
        <v>197390.01887525056</v>
      </c>
      <c r="AQ127" s="654">
        <f t="shared" si="220"/>
        <v>197390.01887525056</v>
      </c>
    </row>
    <row r="128" spans="1:66" ht="15.75" customHeight="1">
      <c r="B128" s="745" t="s">
        <v>183</v>
      </c>
      <c r="C128" s="746"/>
      <c r="D128" s="142">
        <f t="shared" ref="D128:X128" si="221">D127+D113</f>
        <v>86916.76460000001</v>
      </c>
      <c r="E128" s="142">
        <f t="shared" si="221"/>
        <v>90857.900422000006</v>
      </c>
      <c r="F128" s="142">
        <f t="shared" si="221"/>
        <v>90908.313112000003</v>
      </c>
      <c r="G128" s="142">
        <f t="shared" si="221"/>
        <v>95452.192175999997</v>
      </c>
      <c r="H128" s="677">
        <f t="shared" si="221"/>
        <v>95452.192175999997</v>
      </c>
      <c r="I128" s="142">
        <f t="shared" si="221"/>
        <v>101358.51502400001</v>
      </c>
      <c r="J128" s="142">
        <f t="shared" si="221"/>
        <v>106602.453098</v>
      </c>
      <c r="K128" s="142">
        <f t="shared" si="221"/>
        <v>105808.846951</v>
      </c>
      <c r="L128" s="142">
        <f t="shared" si="221"/>
        <v>111757.65650300001</v>
      </c>
      <c r="M128" s="677">
        <f t="shared" si="221"/>
        <v>111757.65650300001</v>
      </c>
      <c r="N128" s="142">
        <f t="shared" si="221"/>
        <v>116770.28337200002</v>
      </c>
      <c r="O128" s="142">
        <f t="shared" si="221"/>
        <v>122336.95209699997</v>
      </c>
      <c r="P128" s="142">
        <f t="shared" si="221"/>
        <v>117379.55199299999</v>
      </c>
      <c r="Q128" s="142">
        <f t="shared" si="221"/>
        <v>121816.118185</v>
      </c>
      <c r="R128" s="677">
        <f t="shared" si="221"/>
        <v>121816.118185</v>
      </c>
      <c r="S128" s="142">
        <f t="shared" si="221"/>
        <v>128168.552251</v>
      </c>
      <c r="T128" s="158">
        <f t="shared" si="221"/>
        <v>135933.63190100002</v>
      </c>
      <c r="U128" s="158">
        <f t="shared" si="221"/>
        <v>128187.50004</v>
      </c>
      <c r="V128" s="158">
        <f t="shared" si="221"/>
        <v>132637.19706000001</v>
      </c>
      <c r="W128" s="685">
        <f t="shared" si="221"/>
        <v>132637.19706000001</v>
      </c>
      <c r="X128" s="142">
        <f t="shared" si="221"/>
        <v>140892.792334</v>
      </c>
      <c r="Y128" s="159">
        <f>Y113+Y127</f>
        <v>145571.28400700001</v>
      </c>
      <c r="Z128" s="142">
        <f t="shared" ref="Z128:AQ128" si="222">Z127+Z113</f>
        <v>141654.77390000003</v>
      </c>
      <c r="AA128" s="160">
        <f t="shared" si="222"/>
        <v>145212.56557507775</v>
      </c>
      <c r="AB128" s="691">
        <f t="shared" si="222"/>
        <v>145212.56557507775</v>
      </c>
      <c r="AC128" s="160">
        <f t="shared" si="222"/>
        <v>152240.71207077175</v>
      </c>
      <c r="AD128" s="160">
        <f t="shared" si="222"/>
        <v>161398.57958582515</v>
      </c>
      <c r="AE128" s="160">
        <f t="shared" si="222"/>
        <v>166060.23541376583</v>
      </c>
      <c r="AF128" s="160">
        <f t="shared" si="222"/>
        <v>164872.41570122377</v>
      </c>
      <c r="AG128" s="691">
        <f t="shared" si="222"/>
        <v>164872.41570122377</v>
      </c>
      <c r="AH128" s="160">
        <f t="shared" si="222"/>
        <v>169273.74605688444</v>
      </c>
      <c r="AI128" s="160">
        <f t="shared" si="222"/>
        <v>176165.65710051183</v>
      </c>
      <c r="AJ128" s="160">
        <f t="shared" si="222"/>
        <v>181282.28149050919</v>
      </c>
      <c r="AK128" s="160">
        <f t="shared" si="222"/>
        <v>184466.68689051573</v>
      </c>
      <c r="AL128" s="691">
        <f t="shared" si="222"/>
        <v>184466.68689051573</v>
      </c>
      <c r="AM128" s="160">
        <f t="shared" si="222"/>
        <v>190345.71292726853</v>
      </c>
      <c r="AN128" s="160">
        <f t="shared" si="222"/>
        <v>197186.16190152481</v>
      </c>
      <c r="AO128" s="160">
        <f t="shared" si="222"/>
        <v>202118.96240934095</v>
      </c>
      <c r="AP128" s="160">
        <f t="shared" si="222"/>
        <v>207404.9235883264</v>
      </c>
      <c r="AQ128" s="696">
        <f t="shared" si="222"/>
        <v>207404.9235883264</v>
      </c>
    </row>
    <row r="129" spans="1:66" ht="15.75" customHeight="1">
      <c r="A129" s="637"/>
      <c r="B129" s="86"/>
      <c r="C129" s="162"/>
      <c r="D129" s="163">
        <f t="shared" ref="D129:AQ129" si="223">D128-D96</f>
        <v>0.17789300000004005</v>
      </c>
      <c r="E129" s="164">
        <f t="shared" si="223"/>
        <v>-0.46110099999350496</v>
      </c>
      <c r="F129" s="164">
        <f t="shared" si="223"/>
        <v>5.5022000029566698E-2</v>
      </c>
      <c r="G129" s="164">
        <f t="shared" si="223"/>
        <v>-3.1399999992572702E-2</v>
      </c>
      <c r="H129" s="680">
        <f t="shared" si="223"/>
        <v>-3.1399999992572702E-2</v>
      </c>
      <c r="I129" s="164">
        <f t="shared" si="223"/>
        <v>-0.14892900000268128</v>
      </c>
      <c r="J129" s="164">
        <f t="shared" si="223"/>
        <v>-0.43874399999913294</v>
      </c>
      <c r="K129" s="164">
        <f t="shared" si="223"/>
        <v>0</v>
      </c>
      <c r="L129" s="164">
        <f t="shared" si="223"/>
        <v>0.28556999999273103</v>
      </c>
      <c r="M129" s="165">
        <f t="shared" si="223"/>
        <v>0.28556999999273103</v>
      </c>
      <c r="N129" s="164">
        <f t="shared" si="223"/>
        <v>0.29795300001569558</v>
      </c>
      <c r="O129" s="164">
        <f t="shared" si="223"/>
        <v>0.20678500000212807</v>
      </c>
      <c r="P129" s="164">
        <f t="shared" si="223"/>
        <v>-0.37787799999932759</v>
      </c>
      <c r="Q129" s="164">
        <f t="shared" si="223"/>
        <v>0.13487300000269897</v>
      </c>
      <c r="R129" s="680">
        <f t="shared" si="223"/>
        <v>0.13487300000269897</v>
      </c>
      <c r="S129" s="164">
        <f t="shared" si="223"/>
        <v>0.3351470000052359</v>
      </c>
      <c r="T129" s="164">
        <f t="shared" si="223"/>
        <v>-0.38163600000552833</v>
      </c>
      <c r="U129" s="164">
        <f t="shared" si="223"/>
        <v>0</v>
      </c>
      <c r="V129" s="164">
        <f t="shared" si="223"/>
        <v>0</v>
      </c>
      <c r="W129" s="680">
        <f t="shared" si="223"/>
        <v>0</v>
      </c>
      <c r="X129" s="166">
        <f t="shared" si="223"/>
        <v>0</v>
      </c>
      <c r="Y129" s="166">
        <f t="shared" si="223"/>
        <v>6.4000021666288376E-5</v>
      </c>
      <c r="Z129" s="166">
        <f t="shared" si="223"/>
        <v>0</v>
      </c>
      <c r="AA129" s="166">
        <f t="shared" si="223"/>
        <v>-3.1811522349016741E-2</v>
      </c>
      <c r="AB129" s="692">
        <f t="shared" si="223"/>
        <v>-3.181152231991291E-2</v>
      </c>
      <c r="AC129" s="166">
        <f t="shared" si="223"/>
        <v>-0.18049696358502842</v>
      </c>
      <c r="AD129" s="166">
        <f t="shared" si="223"/>
        <v>0.33210886790766381</v>
      </c>
      <c r="AE129" s="166">
        <f t="shared" si="223"/>
        <v>3.6755674896994606E-2</v>
      </c>
      <c r="AF129" s="166">
        <f t="shared" si="223"/>
        <v>0.32582874639774673</v>
      </c>
      <c r="AG129" s="692">
        <f t="shared" si="223"/>
        <v>0.32582874639774673</v>
      </c>
      <c r="AH129" s="166">
        <f t="shared" si="223"/>
        <v>-6.3461422512773424E-2</v>
      </c>
      <c r="AI129" s="166">
        <f t="shared" si="223"/>
        <v>0.370655160601018</v>
      </c>
      <c r="AJ129" s="166">
        <f t="shared" si="223"/>
        <v>0.37218547548400238</v>
      </c>
      <c r="AK129" s="166">
        <f t="shared" si="223"/>
        <v>0.46122536039911211</v>
      </c>
      <c r="AL129" s="692">
        <f t="shared" si="223"/>
        <v>0.46122536042821594</v>
      </c>
      <c r="AM129" s="166">
        <f t="shared" si="223"/>
        <v>-0.29257065226556733</v>
      </c>
      <c r="AN129" s="166">
        <f t="shared" si="223"/>
        <v>-0.25624215198331513</v>
      </c>
      <c r="AO129" s="166">
        <f t="shared" si="223"/>
        <v>-0.48110379901481792</v>
      </c>
      <c r="AP129" s="166">
        <f t="shared" si="223"/>
        <v>0.26148394346819259</v>
      </c>
      <c r="AQ129" s="692">
        <f t="shared" si="223"/>
        <v>0.26148394346819259</v>
      </c>
      <c r="AY129" s="80"/>
      <c r="AZ129" s="80"/>
      <c r="BA129" s="80"/>
      <c r="BB129" s="80"/>
      <c r="BC129" s="80"/>
      <c r="BD129" s="80"/>
      <c r="BE129" s="80"/>
      <c r="BF129" s="80"/>
      <c r="BG129" s="80"/>
      <c r="BH129" s="80"/>
      <c r="BI129" s="80"/>
      <c r="BJ129" s="80"/>
      <c r="BK129" s="80"/>
      <c r="BL129" s="80"/>
      <c r="BM129" s="80"/>
      <c r="BN129" s="80"/>
    </row>
    <row r="130" spans="1:66" ht="15.75" customHeight="1" outlineLevel="1">
      <c r="A130" s="80"/>
      <c r="B130" s="93"/>
      <c r="C130" s="93"/>
      <c r="D130" s="89"/>
      <c r="E130" s="89"/>
      <c r="F130" s="89"/>
      <c r="G130" s="89"/>
      <c r="H130" s="89"/>
      <c r="I130" s="89"/>
      <c r="J130" s="4"/>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0"/>
      <c r="AN130" s="80"/>
      <c r="AO130" s="80"/>
      <c r="AP130" s="80"/>
      <c r="AQ130" s="80"/>
      <c r="AR130" s="80"/>
      <c r="AS130" s="80"/>
      <c r="AT130" s="80"/>
      <c r="AU130" s="80"/>
      <c r="AV130" s="80"/>
      <c r="AW130" s="80"/>
      <c r="AX130" s="80"/>
      <c r="AY130" s="80"/>
      <c r="AZ130" s="80"/>
      <c r="BA130" s="80"/>
      <c r="BB130" s="80"/>
      <c r="BC130" s="80"/>
      <c r="BD130" s="80"/>
      <c r="BE130" s="80"/>
      <c r="BF130" s="80"/>
      <c r="BG130" s="80"/>
      <c r="BH130" s="80"/>
      <c r="BI130" s="80"/>
      <c r="BJ130" s="80"/>
      <c r="BK130" s="80"/>
      <c r="BL130" s="80"/>
      <c r="BM130" s="80"/>
      <c r="BN130" s="80"/>
    </row>
    <row r="131" spans="1:66" ht="15.75" customHeight="1" outlineLevel="1">
      <c r="B131" s="747" t="s">
        <v>134</v>
      </c>
      <c r="C131" s="740"/>
      <c r="D131" s="503" t="s">
        <v>9</v>
      </c>
      <c r="E131" s="503" t="s">
        <v>10</v>
      </c>
      <c r="F131" s="503" t="s">
        <v>11</v>
      </c>
      <c r="G131" s="503" t="s">
        <v>12</v>
      </c>
      <c r="H131" s="503" t="s">
        <v>12</v>
      </c>
      <c r="I131" s="503" t="s">
        <v>13</v>
      </c>
      <c r="J131" s="504" t="s">
        <v>14</v>
      </c>
      <c r="K131" s="503" t="s">
        <v>15</v>
      </c>
      <c r="L131" s="503" t="s">
        <v>16</v>
      </c>
      <c r="M131" s="503" t="s">
        <v>16</v>
      </c>
      <c r="N131" s="503" t="s">
        <v>17</v>
      </c>
      <c r="O131" s="503" t="s">
        <v>18</v>
      </c>
      <c r="P131" s="503" t="s">
        <v>19</v>
      </c>
      <c r="Q131" s="503" t="s">
        <v>20</v>
      </c>
      <c r="R131" s="503" t="s">
        <v>20</v>
      </c>
      <c r="S131" s="503" t="s">
        <v>21</v>
      </c>
      <c r="T131" s="503" t="s">
        <v>22</v>
      </c>
      <c r="U131" s="505" t="s">
        <v>23</v>
      </c>
      <c r="V131" s="503" t="s">
        <v>24</v>
      </c>
      <c r="W131" s="505" t="s">
        <v>24</v>
      </c>
      <c r="X131" s="503" t="s">
        <v>25</v>
      </c>
      <c r="Y131" s="505" t="s">
        <v>26</v>
      </c>
      <c r="Z131" s="503" t="s">
        <v>27</v>
      </c>
      <c r="AA131" s="475" t="s">
        <v>28</v>
      </c>
      <c r="AB131" s="475" t="s">
        <v>28</v>
      </c>
      <c r="AC131" s="476" t="s">
        <v>29</v>
      </c>
      <c r="AD131" s="476" t="s">
        <v>30</v>
      </c>
      <c r="AE131" s="476" t="s">
        <v>31</v>
      </c>
      <c r="AF131" s="476" t="s">
        <v>32</v>
      </c>
      <c r="AG131" s="476" t="s">
        <v>32</v>
      </c>
      <c r="AH131" s="476" t="s">
        <v>33</v>
      </c>
      <c r="AI131" s="476" t="s">
        <v>34</v>
      </c>
      <c r="AJ131" s="476" t="s">
        <v>35</v>
      </c>
      <c r="AK131" s="476" t="s">
        <v>36</v>
      </c>
      <c r="AL131" s="476" t="s">
        <v>36</v>
      </c>
      <c r="AM131" s="476" t="s">
        <v>37</v>
      </c>
      <c r="AN131" s="476" t="s">
        <v>38</v>
      </c>
      <c r="AO131" s="476" t="s">
        <v>39</v>
      </c>
      <c r="AP131" s="476" t="s">
        <v>40</v>
      </c>
      <c r="AQ131" s="476" t="s">
        <v>40</v>
      </c>
      <c r="AR131" s="6"/>
      <c r="AS131" s="6"/>
      <c r="AT131" s="6"/>
      <c r="AU131" s="6"/>
      <c r="AV131" s="6"/>
      <c r="AW131" s="6"/>
      <c r="AX131" s="6"/>
      <c r="AY131" s="6"/>
    </row>
    <row r="132" spans="1:66" ht="15.75" customHeight="1" outlineLevel="1">
      <c r="B132" s="517" t="s">
        <v>184</v>
      </c>
      <c r="C132" s="518"/>
      <c r="D132" s="509" t="s">
        <v>42</v>
      </c>
      <c r="E132" s="509" t="s">
        <v>43</v>
      </c>
      <c r="F132" s="509" t="s">
        <v>44</v>
      </c>
      <c r="G132" s="509" t="s">
        <v>45</v>
      </c>
      <c r="H132" s="509" t="s">
        <v>46</v>
      </c>
      <c r="I132" s="509" t="s">
        <v>47</v>
      </c>
      <c r="J132" s="510" t="s">
        <v>48</v>
      </c>
      <c r="K132" s="509" t="s">
        <v>49</v>
      </c>
      <c r="L132" s="509" t="s">
        <v>50</v>
      </c>
      <c r="M132" s="509" t="s">
        <v>51</v>
      </c>
      <c r="N132" s="509" t="s">
        <v>52</v>
      </c>
      <c r="O132" s="509" t="s">
        <v>53</v>
      </c>
      <c r="P132" s="509" t="s">
        <v>54</v>
      </c>
      <c r="Q132" s="509" t="s">
        <v>55</v>
      </c>
      <c r="R132" s="509" t="s">
        <v>56</v>
      </c>
      <c r="S132" s="509" t="s">
        <v>57</v>
      </c>
      <c r="T132" s="509" t="s">
        <v>58</v>
      </c>
      <c r="U132" s="511" t="s">
        <v>59</v>
      </c>
      <c r="V132" s="512" t="s">
        <v>60</v>
      </c>
      <c r="W132" s="511" t="s">
        <v>61</v>
      </c>
      <c r="X132" s="512" t="s">
        <v>62</v>
      </c>
      <c r="Y132" s="511" t="s">
        <v>63</v>
      </c>
      <c r="Z132" s="512" t="s">
        <v>64</v>
      </c>
      <c r="AA132" s="478" t="s">
        <v>65</v>
      </c>
      <c r="AB132" s="480" t="s">
        <v>135</v>
      </c>
      <c r="AC132" s="480" t="s">
        <v>136</v>
      </c>
      <c r="AD132" s="480" t="s">
        <v>68</v>
      </c>
      <c r="AE132" s="480" t="s">
        <v>69</v>
      </c>
      <c r="AF132" s="480" t="s">
        <v>70</v>
      </c>
      <c r="AG132" s="480" t="s">
        <v>71</v>
      </c>
      <c r="AH132" s="480" t="s">
        <v>72</v>
      </c>
      <c r="AI132" s="480" t="s">
        <v>73</v>
      </c>
      <c r="AJ132" s="480" t="s">
        <v>74</v>
      </c>
      <c r="AK132" s="480" t="s">
        <v>75</v>
      </c>
      <c r="AL132" s="480" t="s">
        <v>76</v>
      </c>
      <c r="AM132" s="480" t="s">
        <v>77</v>
      </c>
      <c r="AN132" s="480" t="s">
        <v>78</v>
      </c>
      <c r="AO132" s="480" t="s">
        <v>79</v>
      </c>
      <c r="AP132" s="480" t="s">
        <v>80</v>
      </c>
      <c r="AQ132" s="480" t="s">
        <v>81</v>
      </c>
      <c r="AR132" s="6"/>
      <c r="AS132" s="6"/>
      <c r="AT132" s="6"/>
      <c r="AU132" s="6"/>
      <c r="AV132" s="6"/>
      <c r="AW132" s="6"/>
      <c r="AX132" s="6"/>
      <c r="AY132" s="6"/>
    </row>
    <row r="133" spans="1:66" ht="15.75" customHeight="1" outlineLevel="1">
      <c r="A133" s="80"/>
      <c r="B133" s="513" t="s">
        <v>185</v>
      </c>
      <c r="C133" s="514"/>
      <c r="D133" s="113"/>
      <c r="E133" s="113">
        <f t="shared" ref="E133:G133" si="224">(E82+E90)/(D82+D90)-1</f>
        <v>4.1103745609878173E-2</v>
      </c>
      <c r="F133" s="113">
        <f t="shared" si="224"/>
        <v>-7.37908226795575E-2</v>
      </c>
      <c r="G133" s="113">
        <f t="shared" si="224"/>
        <v>0.38475916253083042</v>
      </c>
      <c r="H133" s="699"/>
      <c r="I133" s="113">
        <f>(I82+I90)/(G82+G90)-1</f>
        <v>4.9871247060580215E-2</v>
      </c>
      <c r="J133" s="113">
        <f t="shared" ref="J133:L133" si="225">(J82+J90)/(I82+I90)-1</f>
        <v>-0.12377026512839118</v>
      </c>
      <c r="K133" s="515">
        <f t="shared" si="225"/>
        <v>8.5794409861768006E-3</v>
      </c>
      <c r="L133" s="113">
        <f t="shared" si="225"/>
        <v>1.310306404167827E-2</v>
      </c>
      <c r="M133" s="719"/>
      <c r="N133" s="113">
        <f>(N82+N90)/(L82+L90)-1</f>
        <v>4.4002386125314707E-3</v>
      </c>
      <c r="O133" s="515">
        <f t="shared" ref="O133:Q133" si="226">(O82+O90)/(N82+N90)-1</f>
        <v>-6.5357319387521207E-3</v>
      </c>
      <c r="P133" s="113">
        <f t="shared" si="226"/>
        <v>2.1993012839482073E-2</v>
      </c>
      <c r="Q133" s="515">
        <f t="shared" si="226"/>
        <v>3.5443417108558029E-2</v>
      </c>
      <c r="R133" s="699"/>
      <c r="S133" s="113">
        <f>(S82+S90)/(Q82+Q90)-1</f>
        <v>0.4353344071853571</v>
      </c>
      <c r="T133" s="515">
        <f t="shared" ref="T133:V133" si="227">(T82+T90)/(S82+S90)-1</f>
        <v>0.26999658652091263</v>
      </c>
      <c r="U133" s="113">
        <f t="shared" si="227"/>
        <v>0.11404485809828069</v>
      </c>
      <c r="V133" s="515">
        <f t="shared" si="227"/>
        <v>-3.0586997720261078E-3</v>
      </c>
      <c r="W133" s="699"/>
      <c r="X133" s="516">
        <f>(X82+X90)/(V82+V90)-1</f>
        <v>9.378853630297268E-2</v>
      </c>
      <c r="Y133" s="516">
        <f t="shared" ref="Y133:Z133" si="228">(Y82+Y90)/(X82+X90)-1</f>
        <v>-3.2800041866509533E-2</v>
      </c>
      <c r="Z133" s="515">
        <f t="shared" si="228"/>
        <v>-3.09189730088546E-2</v>
      </c>
      <c r="AA133" s="167"/>
      <c r="AB133" s="720"/>
      <c r="AC133" s="167"/>
      <c r="AD133" s="167"/>
      <c r="AE133" s="167"/>
      <c r="AF133" s="167"/>
      <c r="AG133" s="167"/>
      <c r="AH133" s="167"/>
      <c r="AI133" s="167"/>
      <c r="AJ133" s="167"/>
      <c r="AK133" s="167"/>
      <c r="AL133" s="167"/>
      <c r="AM133" s="168"/>
      <c r="AN133" s="168"/>
      <c r="AO133" s="168"/>
      <c r="AP133" s="168"/>
      <c r="AQ133" s="168"/>
      <c r="AR133" s="80"/>
      <c r="AS133" s="80"/>
      <c r="AT133" s="80"/>
      <c r="AU133" s="80"/>
      <c r="AV133" s="80"/>
      <c r="AW133" s="80"/>
      <c r="AX133" s="80"/>
      <c r="AY133" s="80"/>
      <c r="AZ133" s="80"/>
      <c r="BA133" s="80"/>
      <c r="BB133" s="80"/>
      <c r="BC133" s="80"/>
      <c r="BD133" s="80"/>
      <c r="BE133" s="80"/>
      <c r="BF133" s="80"/>
      <c r="BG133" s="80"/>
      <c r="BH133" s="80"/>
      <c r="BI133" s="80"/>
      <c r="BJ133" s="80"/>
      <c r="BK133" s="80"/>
      <c r="BL133" s="80"/>
      <c r="BM133" s="80"/>
      <c r="BN133" s="80"/>
    </row>
    <row r="134" spans="1:66" ht="15.75" customHeight="1" outlineLevel="1">
      <c r="A134" s="80"/>
      <c r="B134" s="81" t="s">
        <v>186</v>
      </c>
      <c r="C134" s="169"/>
      <c r="D134" s="113">
        <f t="shared" ref="D134:AQ134" si="229">D82/(D82+D90)</f>
        <v>0</v>
      </c>
      <c r="E134" s="113">
        <f t="shared" si="229"/>
        <v>0</v>
      </c>
      <c r="F134" s="113">
        <f t="shared" si="229"/>
        <v>0</v>
      </c>
      <c r="G134" s="113">
        <f t="shared" si="229"/>
        <v>0</v>
      </c>
      <c r="H134" s="712">
        <f t="shared" si="229"/>
        <v>0</v>
      </c>
      <c r="I134" s="113">
        <f t="shared" si="229"/>
        <v>0</v>
      </c>
      <c r="J134" s="113">
        <f t="shared" si="229"/>
        <v>0</v>
      </c>
      <c r="K134" s="113">
        <f t="shared" si="229"/>
        <v>0</v>
      </c>
      <c r="L134" s="113">
        <f t="shared" si="229"/>
        <v>0</v>
      </c>
      <c r="M134" s="699">
        <f t="shared" si="229"/>
        <v>0</v>
      </c>
      <c r="N134" s="113">
        <f t="shared" si="229"/>
        <v>0</v>
      </c>
      <c r="O134" s="113">
        <f t="shared" si="229"/>
        <v>0</v>
      </c>
      <c r="P134" s="113">
        <f t="shared" si="229"/>
        <v>0</v>
      </c>
      <c r="Q134" s="113">
        <f t="shared" si="229"/>
        <v>0</v>
      </c>
      <c r="R134" s="699">
        <f t="shared" si="229"/>
        <v>0</v>
      </c>
      <c r="S134" s="113">
        <f t="shared" si="229"/>
        <v>0</v>
      </c>
      <c r="T134" s="113">
        <f t="shared" si="229"/>
        <v>0</v>
      </c>
      <c r="U134" s="113">
        <f t="shared" si="229"/>
        <v>0</v>
      </c>
      <c r="V134" s="113">
        <f t="shared" si="229"/>
        <v>0</v>
      </c>
      <c r="W134" s="712">
        <f t="shared" si="229"/>
        <v>0</v>
      </c>
      <c r="X134" s="113">
        <f t="shared" si="229"/>
        <v>0</v>
      </c>
      <c r="Y134" s="113">
        <f t="shared" si="229"/>
        <v>0</v>
      </c>
      <c r="Z134" s="122">
        <f t="shared" si="229"/>
        <v>0</v>
      </c>
      <c r="AA134" s="113">
        <f t="shared" si="229"/>
        <v>0</v>
      </c>
      <c r="AB134" s="699">
        <f t="shared" si="229"/>
        <v>0</v>
      </c>
      <c r="AC134" s="113">
        <f t="shared" si="229"/>
        <v>0</v>
      </c>
      <c r="AD134" s="113">
        <f t="shared" si="229"/>
        <v>0</v>
      </c>
      <c r="AE134" s="113">
        <f t="shared" si="229"/>
        <v>0</v>
      </c>
      <c r="AF134" s="113">
        <f t="shared" si="229"/>
        <v>0</v>
      </c>
      <c r="AG134" s="113">
        <f t="shared" si="229"/>
        <v>0</v>
      </c>
      <c r="AH134" s="113">
        <f t="shared" si="229"/>
        <v>0</v>
      </c>
      <c r="AI134" s="113">
        <f t="shared" si="229"/>
        <v>0</v>
      </c>
      <c r="AJ134" s="113">
        <f t="shared" si="229"/>
        <v>0</v>
      </c>
      <c r="AK134" s="113">
        <f t="shared" si="229"/>
        <v>0</v>
      </c>
      <c r="AL134" s="113">
        <f t="shared" si="229"/>
        <v>0</v>
      </c>
      <c r="AM134" s="113">
        <f t="shared" si="229"/>
        <v>0</v>
      </c>
      <c r="AN134" s="113">
        <f t="shared" si="229"/>
        <v>0</v>
      </c>
      <c r="AO134" s="113">
        <f t="shared" si="229"/>
        <v>0</v>
      </c>
      <c r="AP134" s="113">
        <f t="shared" si="229"/>
        <v>0</v>
      </c>
      <c r="AQ134" s="113">
        <f t="shared" si="229"/>
        <v>0</v>
      </c>
      <c r="AR134" s="80"/>
      <c r="AS134" s="80"/>
      <c r="AT134" s="80"/>
      <c r="AU134" s="80"/>
      <c r="AV134" s="80"/>
      <c r="AW134" s="80"/>
      <c r="AX134" s="80"/>
      <c r="AY134" s="80"/>
      <c r="AZ134" s="80"/>
      <c r="BA134" s="80"/>
      <c r="BB134" s="80"/>
      <c r="BC134" s="80"/>
      <c r="BD134" s="80"/>
      <c r="BE134" s="80"/>
      <c r="BF134" s="80"/>
      <c r="BG134" s="80"/>
      <c r="BH134" s="80"/>
      <c r="BI134" s="80"/>
      <c r="BJ134" s="80"/>
      <c r="BK134" s="80"/>
      <c r="BL134" s="80"/>
      <c r="BM134" s="80"/>
      <c r="BN134" s="80"/>
    </row>
    <row r="135" spans="1:66" ht="15.75" customHeight="1" outlineLevel="1">
      <c r="A135" s="170"/>
      <c r="B135" s="171" t="s">
        <v>187</v>
      </c>
      <c r="C135" s="172"/>
      <c r="D135" s="173"/>
      <c r="E135" s="173">
        <v>90</v>
      </c>
      <c r="F135" s="173">
        <f t="shared" ref="F135:L135" si="230">E135</f>
        <v>90</v>
      </c>
      <c r="G135" s="173">
        <f t="shared" si="230"/>
        <v>90</v>
      </c>
      <c r="H135" s="715">
        <f t="shared" si="230"/>
        <v>90</v>
      </c>
      <c r="I135" s="173">
        <f t="shared" si="230"/>
        <v>90</v>
      </c>
      <c r="J135" s="173">
        <f t="shared" si="230"/>
        <v>90</v>
      </c>
      <c r="K135" s="173">
        <f t="shared" si="230"/>
        <v>90</v>
      </c>
      <c r="L135" s="173">
        <f t="shared" si="230"/>
        <v>90</v>
      </c>
      <c r="M135" s="715"/>
      <c r="N135" s="173">
        <f>90</f>
        <v>90</v>
      </c>
      <c r="O135" s="173">
        <f t="shared" ref="O135:Q135" si="231">N135</f>
        <v>90</v>
      </c>
      <c r="P135" s="173">
        <f t="shared" si="231"/>
        <v>90</v>
      </c>
      <c r="Q135" s="173">
        <f t="shared" si="231"/>
        <v>90</v>
      </c>
      <c r="R135" s="716"/>
      <c r="S135" s="173">
        <f>90</f>
        <v>90</v>
      </c>
      <c r="T135" s="173">
        <f t="shared" ref="T135:V135" si="232">S135</f>
        <v>90</v>
      </c>
      <c r="U135" s="173">
        <f t="shared" si="232"/>
        <v>90</v>
      </c>
      <c r="V135" s="173">
        <f t="shared" si="232"/>
        <v>90</v>
      </c>
      <c r="W135" s="716"/>
      <c r="X135" s="173">
        <f>90</f>
        <v>90</v>
      </c>
      <c r="Y135" s="173">
        <f t="shared" ref="Y135:AA135" si="233">X135</f>
        <v>90</v>
      </c>
      <c r="Z135" s="174">
        <f t="shared" si="233"/>
        <v>90</v>
      </c>
      <c r="AA135" s="173">
        <f t="shared" si="233"/>
        <v>90</v>
      </c>
      <c r="AB135" s="715"/>
      <c r="AC135" s="173">
        <v>90</v>
      </c>
      <c r="AD135" s="173">
        <v>90</v>
      </c>
      <c r="AE135" s="173">
        <v>90</v>
      </c>
      <c r="AF135" s="173">
        <v>90</v>
      </c>
      <c r="AG135" s="173"/>
      <c r="AH135" s="173">
        <v>90</v>
      </c>
      <c r="AI135" s="173">
        <v>90</v>
      </c>
      <c r="AJ135" s="173">
        <v>90</v>
      </c>
      <c r="AK135" s="173">
        <v>90</v>
      </c>
      <c r="AL135" s="173"/>
      <c r="AM135" s="175">
        <v>90</v>
      </c>
      <c r="AN135" s="175">
        <v>90</v>
      </c>
      <c r="AO135" s="175">
        <v>90</v>
      </c>
      <c r="AP135" s="175">
        <v>90</v>
      </c>
      <c r="AQ135" s="175"/>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0"/>
      <c r="BM135" s="170"/>
      <c r="BN135" s="170"/>
    </row>
    <row r="136" spans="1:66" ht="15.75" customHeight="1" outlineLevel="1">
      <c r="A136" s="80"/>
      <c r="B136" s="738" t="s">
        <v>188</v>
      </c>
      <c r="C136" s="736"/>
      <c r="D136" s="113"/>
      <c r="E136" s="113"/>
      <c r="F136" s="113"/>
      <c r="G136" s="113"/>
      <c r="H136" s="712"/>
      <c r="I136" s="113"/>
      <c r="J136" s="113"/>
      <c r="K136" s="112"/>
      <c r="L136" s="113"/>
      <c r="M136" s="698"/>
      <c r="N136" s="113"/>
      <c r="O136" s="112"/>
      <c r="P136" s="113"/>
      <c r="Q136" s="112"/>
      <c r="R136" s="712"/>
      <c r="S136" s="113"/>
      <c r="T136" s="112"/>
      <c r="U136" s="113"/>
      <c r="V136" s="112"/>
      <c r="W136" s="712"/>
      <c r="X136" s="114"/>
      <c r="Y136" s="114"/>
      <c r="Z136" s="112"/>
      <c r="AA136" s="88"/>
      <c r="AB136" s="721"/>
      <c r="AC136" s="88"/>
      <c r="AD136" s="88"/>
      <c r="AE136" s="88"/>
      <c r="AF136" s="88"/>
      <c r="AG136" s="88"/>
      <c r="AH136" s="88"/>
      <c r="AI136" s="88"/>
      <c r="AJ136" s="88"/>
      <c r="AK136" s="88"/>
      <c r="AL136" s="88"/>
      <c r="AM136" s="145"/>
      <c r="AN136" s="145"/>
      <c r="AO136" s="145"/>
      <c r="AP136" s="145"/>
      <c r="AQ136" s="145"/>
      <c r="AR136" s="80"/>
      <c r="AS136" s="80"/>
      <c r="AT136" s="80"/>
      <c r="AU136" s="80"/>
      <c r="AV136" s="80"/>
      <c r="AW136" s="80"/>
      <c r="AX136" s="80"/>
      <c r="AY136" s="80"/>
      <c r="AZ136" s="80"/>
      <c r="BA136" s="80"/>
      <c r="BB136" s="80"/>
      <c r="BC136" s="80"/>
      <c r="BD136" s="80"/>
      <c r="BE136" s="80"/>
      <c r="BF136" s="80"/>
      <c r="BG136" s="80"/>
      <c r="BH136" s="80"/>
      <c r="BI136" s="80"/>
      <c r="BJ136" s="80"/>
      <c r="BK136" s="80"/>
      <c r="BL136" s="80"/>
      <c r="BM136" s="80"/>
      <c r="BN136" s="80"/>
    </row>
    <row r="137" spans="1:66" ht="15.75" customHeight="1" outlineLevel="1">
      <c r="A137" s="80"/>
      <c r="B137" s="738" t="s">
        <v>189</v>
      </c>
      <c r="C137" s="736"/>
      <c r="D137" s="113"/>
      <c r="E137" s="113">
        <f t="shared" ref="E137:G137" si="234">E18/AVERAGE(D85:E85)</f>
        <v>0.89302834096206096</v>
      </c>
      <c r="F137" s="113">
        <f t="shared" si="234"/>
        <v>0.90572156561755868</v>
      </c>
      <c r="G137" s="113">
        <f t="shared" si="234"/>
        <v>0.92008337123134654</v>
      </c>
      <c r="H137" s="712"/>
      <c r="I137" s="113">
        <f>I18/AVERAGE(G85,I85)</f>
        <v>1.0551927963260359</v>
      </c>
      <c r="J137" s="113">
        <f t="shared" ref="J137:L137" si="235">J18/AVERAGE(I85:J85)</f>
        <v>1.0174379657378554</v>
      </c>
      <c r="K137" s="113">
        <f t="shared" si="235"/>
        <v>1.0525924304182055</v>
      </c>
      <c r="L137" s="113">
        <f t="shared" si="235"/>
        <v>0.91087438083217709</v>
      </c>
      <c r="M137" s="712"/>
      <c r="N137" s="113">
        <f>N18/AVERAGE(L85,N85)</f>
        <v>0.93804278021597409</v>
      </c>
      <c r="O137" s="113">
        <f t="shared" ref="O137:Q137" si="236">O18/AVERAGE(N85:O85)</f>
        <v>0.85393846288927866</v>
      </c>
      <c r="P137" s="113">
        <f t="shared" si="236"/>
        <v>0.79351120563887922</v>
      </c>
      <c r="Q137" s="113">
        <f t="shared" si="236"/>
        <v>0.69534146858341117</v>
      </c>
      <c r="R137" s="712"/>
      <c r="S137" s="113">
        <f>S18/AVERAGE(Q85,S85)</f>
        <v>0.73808394365870134</v>
      </c>
      <c r="T137" s="113">
        <f t="shared" ref="T137:V137" si="237">T18/AVERAGE(S85:T85)</f>
        <v>0.80268337350028673</v>
      </c>
      <c r="U137" s="113">
        <f t="shared" si="237"/>
        <v>0.6641789809840476</v>
      </c>
      <c r="V137" s="113">
        <f t="shared" si="237"/>
        <v>0.81764980567975742</v>
      </c>
      <c r="W137" s="712"/>
      <c r="X137" s="113">
        <f>X18/AVERAGE(V85,X85)</f>
        <v>0.66389290617138297</v>
      </c>
      <c r="Y137" s="113">
        <f t="shared" ref="Y137:Z137" si="238">Y18/AVERAGE(X85:Y85)</f>
        <v>0.77360653433960946</v>
      </c>
      <c r="Z137" s="122">
        <f t="shared" si="238"/>
        <v>0.73488814436807026</v>
      </c>
      <c r="AA137" s="88">
        <f>Z137*(V137/U137)</f>
        <v>0.90469762766151474</v>
      </c>
      <c r="AB137" s="721"/>
      <c r="AC137" s="88">
        <f>AA137*(X137/V137)</f>
        <v>0.73457161374266855</v>
      </c>
      <c r="AD137" s="88">
        <f t="shared" ref="AD137:AF137" si="239">AC137*(Y137/X137)</f>
        <v>0.85596546528699036</v>
      </c>
      <c r="AE137" s="88">
        <f t="shared" si="239"/>
        <v>0.81312507651565835</v>
      </c>
      <c r="AF137" s="88">
        <f t="shared" si="239"/>
        <v>1.001012648460091</v>
      </c>
      <c r="AG137" s="88"/>
      <c r="AH137" s="88">
        <f>AF137*(AC137/AA137)</f>
        <v>0.81277484772101549</v>
      </c>
      <c r="AI137" s="88">
        <f t="shared" ref="AI137:AK137" si="240">AH137*(AD137/AC137)</f>
        <v>0.94709241098826125</v>
      </c>
      <c r="AJ137" s="88">
        <f t="shared" si="240"/>
        <v>0.8996911912725668</v>
      </c>
      <c r="AK137" s="88">
        <f t="shared" si="240"/>
        <v>1.1075814633969459</v>
      </c>
      <c r="AL137" s="88"/>
      <c r="AM137" s="176">
        <f>AK137*(AH137/AF137)</f>
        <v>0.89930367676763923</v>
      </c>
      <c r="AN137" s="176">
        <f>AM137*(AJ137/AI137)</f>
        <v>0.85429424508069995</v>
      </c>
      <c r="AO137" s="176">
        <f t="shared" ref="AO137:AP137" si="241">AN137*(AJ137/AI137)</f>
        <v>0.81153749954763343</v>
      </c>
      <c r="AP137" s="176">
        <f t="shared" si="241"/>
        <v>0.99905823250208525</v>
      </c>
      <c r="AQ137" s="145"/>
      <c r="AR137" s="80"/>
      <c r="AS137" s="80"/>
      <c r="AT137" s="80"/>
      <c r="AU137" s="80"/>
      <c r="AV137" s="80"/>
      <c r="AW137" s="80"/>
      <c r="AX137" s="80"/>
      <c r="AY137" s="80"/>
      <c r="AZ137" s="80"/>
      <c r="BA137" s="80"/>
      <c r="BB137" s="80"/>
      <c r="BC137" s="80"/>
      <c r="BD137" s="80"/>
      <c r="BE137" s="80"/>
      <c r="BF137" s="80"/>
      <c r="BG137" s="80"/>
      <c r="BH137" s="80"/>
      <c r="BI137" s="80"/>
      <c r="BJ137" s="80"/>
      <c r="BK137" s="80"/>
      <c r="BL137" s="80"/>
      <c r="BM137" s="80"/>
      <c r="BN137" s="80"/>
    </row>
    <row r="138" spans="1:66" ht="15.75" customHeight="1" outlineLevel="1">
      <c r="A138" s="170"/>
      <c r="B138" s="737" t="s">
        <v>190</v>
      </c>
      <c r="C138" s="736"/>
      <c r="D138" s="173"/>
      <c r="E138" s="173">
        <f t="shared" ref="E138:G138" si="242">E135/E137</f>
        <v>100.78067612394344</v>
      </c>
      <c r="F138" s="173">
        <f t="shared" si="242"/>
        <v>99.368286476246425</v>
      </c>
      <c r="G138" s="173">
        <f t="shared" si="242"/>
        <v>97.81722267141194</v>
      </c>
      <c r="H138" s="716" t="e">
        <f>H135/$H$137</f>
        <v>#DIV/0!</v>
      </c>
      <c r="I138" s="173">
        <f t="shared" ref="I138:AQ138" si="243">I135/I137</f>
        <v>85.292470071214922</v>
      </c>
      <c r="J138" s="173">
        <f t="shared" si="243"/>
        <v>88.457481468888545</v>
      </c>
      <c r="K138" s="173">
        <f t="shared" si="243"/>
        <v>85.503179957547388</v>
      </c>
      <c r="L138" s="173">
        <f t="shared" si="243"/>
        <v>98.806160205950434</v>
      </c>
      <c r="M138" s="716" t="e">
        <f t="shared" si="243"/>
        <v>#DIV/0!</v>
      </c>
      <c r="N138" s="173">
        <f t="shared" si="243"/>
        <v>95.944451466572218</v>
      </c>
      <c r="O138" s="173">
        <f t="shared" si="243"/>
        <v>105.39401129150141</v>
      </c>
      <c r="P138" s="173">
        <f t="shared" si="243"/>
        <v>113.41994840203718</v>
      </c>
      <c r="Q138" s="173">
        <f t="shared" si="243"/>
        <v>129.43280972922997</v>
      </c>
      <c r="R138" s="716" t="e">
        <f t="shared" si="243"/>
        <v>#DIV/0!</v>
      </c>
      <c r="S138" s="173">
        <f t="shared" si="243"/>
        <v>121.93734977334374</v>
      </c>
      <c r="T138" s="173">
        <f t="shared" si="243"/>
        <v>112.12391208196347</v>
      </c>
      <c r="U138" s="173">
        <f t="shared" si="243"/>
        <v>135.50564317265204</v>
      </c>
      <c r="V138" s="173">
        <f t="shared" si="243"/>
        <v>110.07157266450767</v>
      </c>
      <c r="W138" s="716" t="e">
        <f t="shared" si="243"/>
        <v>#DIV/0!</v>
      </c>
      <c r="X138" s="173">
        <f t="shared" si="243"/>
        <v>135.56403323997355</v>
      </c>
      <c r="Y138" s="173">
        <f t="shared" si="243"/>
        <v>116.33821071176531</v>
      </c>
      <c r="Z138" s="174">
        <f t="shared" si="243"/>
        <v>122.46761726900756</v>
      </c>
      <c r="AA138" s="173">
        <f t="shared" si="243"/>
        <v>99.480751632602676</v>
      </c>
      <c r="AB138" s="715" t="e">
        <f t="shared" si="243"/>
        <v>#DIV/0!</v>
      </c>
      <c r="AC138" s="173">
        <f t="shared" si="243"/>
        <v>122.52038918499287</v>
      </c>
      <c r="AD138" s="173">
        <f t="shared" si="243"/>
        <v>105.14442889331355</v>
      </c>
      <c r="AE138" s="173">
        <f t="shared" si="243"/>
        <v>110.68407874673002</v>
      </c>
      <c r="AF138" s="173">
        <f t="shared" si="243"/>
        <v>89.908953836349227</v>
      </c>
      <c r="AG138" s="173" t="e">
        <f t="shared" si="243"/>
        <v>#DIV/0!</v>
      </c>
      <c r="AH138" s="173">
        <f t="shared" si="243"/>
        <v>110.73177307633965</v>
      </c>
      <c r="AI138" s="173">
        <f t="shared" si="243"/>
        <v>95.027685741972974</v>
      </c>
      <c r="AJ138" s="173">
        <f t="shared" si="243"/>
        <v>100.03432385805583</v>
      </c>
      <c r="AK138" s="173">
        <f t="shared" si="243"/>
        <v>81.258131319723006</v>
      </c>
      <c r="AL138" s="173" t="e">
        <f t="shared" si="243"/>
        <v>#DIV/0!</v>
      </c>
      <c r="AM138" s="173">
        <f t="shared" si="243"/>
        <v>100.07742915439461</v>
      </c>
      <c r="AN138" s="173">
        <f t="shared" si="243"/>
        <v>105.35011855487596</v>
      </c>
      <c r="AO138" s="173">
        <f t="shared" si="243"/>
        <v>110.9006053942889</v>
      </c>
      <c r="AP138" s="173">
        <f t="shared" si="243"/>
        <v>90.084838973400025</v>
      </c>
      <c r="AQ138" s="173" t="e">
        <f t="shared" si="243"/>
        <v>#DIV/0!</v>
      </c>
      <c r="AR138" s="170"/>
      <c r="AS138" s="170"/>
      <c r="AT138" s="170"/>
      <c r="AU138" s="170"/>
      <c r="AV138" s="170"/>
      <c r="AW138" s="170"/>
      <c r="AX138" s="170"/>
      <c r="AY138" s="170"/>
      <c r="AZ138" s="170"/>
      <c r="BA138" s="170"/>
      <c r="BB138" s="170"/>
      <c r="BC138" s="170"/>
      <c r="BD138" s="170"/>
      <c r="BE138" s="170"/>
      <c r="BF138" s="170"/>
      <c r="BG138" s="170"/>
      <c r="BH138" s="170"/>
      <c r="BI138" s="170"/>
      <c r="BJ138" s="170"/>
      <c r="BK138" s="170"/>
      <c r="BL138" s="170"/>
      <c r="BM138" s="170"/>
      <c r="BN138" s="170"/>
    </row>
    <row r="139" spans="1:66" ht="15.75" customHeight="1" outlineLevel="1">
      <c r="A139" s="170"/>
      <c r="B139" s="737" t="s">
        <v>191</v>
      </c>
      <c r="C139" s="736"/>
      <c r="D139" s="173"/>
      <c r="E139" s="173">
        <f t="shared" ref="E139:G139" si="244">E17/AVERAGE(E83,D83)</f>
        <v>7.3337337228648849</v>
      </c>
      <c r="F139" s="173">
        <f t="shared" si="244"/>
        <v>7.0757411620631547</v>
      </c>
      <c r="G139" s="173">
        <f t="shared" si="244"/>
        <v>5.3707706419130599</v>
      </c>
      <c r="H139" s="716">
        <f>SUM(E139:G139)</f>
        <v>19.780245526841099</v>
      </c>
      <c r="I139" s="173">
        <f>I17/AVERAGE(G83,I83)</f>
        <v>6.5989416504657328</v>
      </c>
      <c r="J139" s="173">
        <f t="shared" ref="J139:L139" si="245">J17/AVERAGE(J83,I83)</f>
        <v>6.4859190019035431</v>
      </c>
      <c r="K139" s="173">
        <f t="shared" si="245"/>
        <v>5.244169309577825</v>
      </c>
      <c r="L139" s="173">
        <f t="shared" si="245"/>
        <v>4.4777432634689553</v>
      </c>
      <c r="M139" s="716">
        <f>SUM(I139:L139)</f>
        <v>22.806773225416055</v>
      </c>
      <c r="N139" s="173">
        <f>N17/AVERAGE(L83,N83)</f>
        <v>4.4401594987939887</v>
      </c>
      <c r="O139" s="173">
        <f t="shared" ref="O139:Q139" si="246">O17/AVERAGE(O83,N83)</f>
        <v>4.131912718213643</v>
      </c>
      <c r="P139" s="173">
        <f t="shared" si="246"/>
        <v>4.0817446958414685</v>
      </c>
      <c r="Q139" s="173">
        <f t="shared" si="246"/>
        <v>2.9457709727620149</v>
      </c>
      <c r="R139" s="716">
        <f>SUM(N139:Q139)</f>
        <v>15.599587885611115</v>
      </c>
      <c r="S139" s="173">
        <f>S17/AVERAGE(S83,Q83)</f>
        <v>3.3423132967800107</v>
      </c>
      <c r="T139" s="173">
        <f t="shared" ref="T139:V139" si="247">T17/AVERAGE(T83,S83)</f>
        <v>3.7555222161292807</v>
      </c>
      <c r="U139" s="173">
        <f t="shared" si="247"/>
        <v>3.6501940282870469</v>
      </c>
      <c r="V139" s="173">
        <f t="shared" si="247"/>
        <v>3.530128292884811</v>
      </c>
      <c r="W139" s="716">
        <f>SUM(S139:V139)</f>
        <v>14.278157834081149</v>
      </c>
      <c r="X139" s="173">
        <f>X17/AVERAGE(X83,V83)</f>
        <v>3.6291052088387001</v>
      </c>
      <c r="Y139" s="173">
        <f t="shared" ref="Y139:Z139" si="248">Y17/AVERAGE(Y83,X83)</f>
        <v>4.0246970945837006</v>
      </c>
      <c r="Z139" s="174">
        <f t="shared" si="248"/>
        <v>3.2096910644041978</v>
      </c>
      <c r="AA139" s="173">
        <f>Z139*(U139/T139)</f>
        <v>3.1196713750264724</v>
      </c>
      <c r="AB139" s="715">
        <f>SUM(X139:AA139)</f>
        <v>13.983164742853072</v>
      </c>
      <c r="AC139" s="173">
        <f>AA139*(X139/V139)</f>
        <v>3.2071399953913771</v>
      </c>
      <c r="AD139" s="173">
        <f t="shared" ref="AD139:AF139" si="249">AC139*(Y139/X139)</f>
        <v>3.5567354150929384</v>
      </c>
      <c r="AE139" s="173">
        <f t="shared" si="249"/>
        <v>2.836492191086144</v>
      </c>
      <c r="AF139" s="173">
        <f t="shared" si="249"/>
        <v>2.7569393179776798</v>
      </c>
      <c r="AG139" s="173"/>
      <c r="AH139" s="173">
        <f>AF139*(AC139/AA139)</f>
        <v>2.8342377412999831</v>
      </c>
      <c r="AI139" s="173">
        <f t="shared" ref="AI139:AK139" si="250">AH139*(AD139/AC139)</f>
        <v>3.1431848200454051</v>
      </c>
      <c r="AJ139" s="173">
        <f t="shared" si="250"/>
        <v>2.5066860917925018</v>
      </c>
      <c r="AK139" s="173">
        <f t="shared" si="250"/>
        <v>2.4363830318335169</v>
      </c>
      <c r="AL139" s="173"/>
      <c r="AM139" s="173">
        <f>AK139*(AH139/AF139)</f>
        <v>2.5046937725675895</v>
      </c>
      <c r="AN139" s="173">
        <f t="shared" ref="AN139:AP139" si="251">AM139*(AI139/AH139)</f>
        <v>2.7777187954549354</v>
      </c>
      <c r="AO139" s="173">
        <f t="shared" si="251"/>
        <v>2.2152273792722523</v>
      </c>
      <c r="AP139" s="173">
        <f t="shared" si="251"/>
        <v>2.1530986333643845</v>
      </c>
      <c r="AQ139" s="173"/>
      <c r="AR139" s="170"/>
      <c r="AS139" s="170"/>
      <c r="AT139" s="170"/>
      <c r="AU139" s="170"/>
      <c r="AV139" s="170"/>
      <c r="AW139" s="170"/>
      <c r="AX139" s="170"/>
      <c r="AY139" s="170"/>
      <c r="AZ139" s="170"/>
      <c r="BA139" s="170"/>
      <c r="BB139" s="170"/>
      <c r="BC139" s="170"/>
      <c r="BD139" s="170"/>
      <c r="BE139" s="170"/>
      <c r="BF139" s="170"/>
      <c r="BG139" s="170"/>
      <c r="BH139" s="170"/>
      <c r="BI139" s="170"/>
      <c r="BJ139" s="170"/>
      <c r="BK139" s="170"/>
      <c r="BL139" s="170"/>
      <c r="BM139" s="170"/>
      <c r="BN139" s="170"/>
    </row>
    <row r="140" spans="1:66" ht="15.75" customHeight="1" outlineLevel="1">
      <c r="A140" s="170"/>
      <c r="B140" s="737" t="s">
        <v>192</v>
      </c>
      <c r="C140" s="736"/>
      <c r="D140" s="173"/>
      <c r="E140" s="173">
        <f t="shared" ref="E140:V140" si="252">E135/E139</f>
        <v>12.272057235920746</v>
      </c>
      <c r="F140" s="173">
        <f t="shared" si="252"/>
        <v>12.719515586937845</v>
      </c>
      <c r="G140" s="173">
        <f t="shared" si="252"/>
        <v>16.757371707078175</v>
      </c>
      <c r="H140" s="716">
        <f t="shared" si="252"/>
        <v>4.5499940775696217</v>
      </c>
      <c r="I140" s="173">
        <f t="shared" si="252"/>
        <v>13.638550659657383</v>
      </c>
      <c r="J140" s="173">
        <f t="shared" si="252"/>
        <v>13.876213991199402</v>
      </c>
      <c r="K140" s="173">
        <f t="shared" si="252"/>
        <v>17.161917300348438</v>
      </c>
      <c r="L140" s="173">
        <f t="shared" si="252"/>
        <v>20.099410507576991</v>
      </c>
      <c r="M140" s="716">
        <f t="shared" si="252"/>
        <v>0</v>
      </c>
      <c r="N140" s="173">
        <f t="shared" si="252"/>
        <v>20.269542124431634</v>
      </c>
      <c r="O140" s="173">
        <f t="shared" si="252"/>
        <v>21.781679850902044</v>
      </c>
      <c r="P140" s="173">
        <f t="shared" si="252"/>
        <v>22.049394733505284</v>
      </c>
      <c r="Q140" s="173">
        <f t="shared" si="252"/>
        <v>30.552273354643781</v>
      </c>
      <c r="R140" s="716">
        <f t="shared" si="252"/>
        <v>0</v>
      </c>
      <c r="S140" s="173">
        <f t="shared" si="252"/>
        <v>26.927457724177483</v>
      </c>
      <c r="T140" s="173">
        <f t="shared" si="252"/>
        <v>23.964709784824723</v>
      </c>
      <c r="U140" s="173">
        <f t="shared" si="252"/>
        <v>24.656223560322616</v>
      </c>
      <c r="V140" s="173">
        <f t="shared" si="252"/>
        <v>25.494824134692355</v>
      </c>
      <c r="W140" s="716"/>
      <c r="X140" s="173">
        <f t="shared" ref="X140:AF140" si="253">X135/X139</f>
        <v>24.799501480641741</v>
      </c>
      <c r="Y140" s="173">
        <f t="shared" si="253"/>
        <v>22.361931316798703</v>
      </c>
      <c r="Z140" s="174">
        <f t="shared" si="253"/>
        <v>28.040081800429082</v>
      </c>
      <c r="AA140" s="173">
        <f t="shared" si="253"/>
        <v>28.849192488819849</v>
      </c>
      <c r="AB140" s="715">
        <f t="shared" si="253"/>
        <v>0</v>
      </c>
      <c r="AC140" s="173">
        <f t="shared" si="253"/>
        <v>28.062385842005323</v>
      </c>
      <c r="AD140" s="173">
        <f t="shared" si="253"/>
        <v>25.304103200391776</v>
      </c>
      <c r="AE140" s="173">
        <f t="shared" si="253"/>
        <v>31.729331137533425</v>
      </c>
      <c r="AF140" s="173">
        <f t="shared" si="253"/>
        <v>32.64489697438043</v>
      </c>
      <c r="AG140" s="173"/>
      <c r="AH140" s="173">
        <f t="shared" ref="AH140:AK140" si="254">AH135/AH139</f>
        <v>31.754569734407529</v>
      </c>
      <c r="AI140" s="173">
        <f t="shared" si="254"/>
        <v>28.633378293898701</v>
      </c>
      <c r="AJ140" s="173">
        <f t="shared" si="254"/>
        <v>35.903977085396463</v>
      </c>
      <c r="AK140" s="173">
        <f t="shared" si="254"/>
        <v>36.940004434470993</v>
      </c>
      <c r="AL140" s="173"/>
      <c r="AM140" s="173">
        <f t="shared" ref="AM140:AP140" si="255">AM135/AM139</f>
        <v>35.932536338659872</v>
      </c>
      <c r="AN140" s="173">
        <f t="shared" si="255"/>
        <v>32.400687984422042</v>
      </c>
      <c r="AO140" s="173">
        <f t="shared" si="255"/>
        <v>40.627883549167244</v>
      </c>
      <c r="AP140" s="173">
        <f t="shared" si="255"/>
        <v>41.800221599401596</v>
      </c>
      <c r="AQ140" s="173"/>
      <c r="AR140" s="170"/>
      <c r="AS140" s="170"/>
      <c r="AT140" s="170"/>
      <c r="AU140" s="170"/>
      <c r="AV140" s="170"/>
      <c r="AW140" s="170"/>
      <c r="AX140" s="170"/>
      <c r="AY140" s="170"/>
      <c r="AZ140" s="170"/>
      <c r="BA140" s="170"/>
      <c r="BB140" s="170"/>
      <c r="BC140" s="170"/>
      <c r="BD140" s="170"/>
      <c r="BE140" s="170"/>
      <c r="BF140" s="170"/>
      <c r="BG140" s="170"/>
      <c r="BH140" s="170"/>
      <c r="BI140" s="170"/>
      <c r="BJ140" s="170"/>
      <c r="BK140" s="170"/>
      <c r="BL140" s="170"/>
      <c r="BM140" s="170"/>
      <c r="BN140" s="170"/>
    </row>
    <row r="141" spans="1:66" ht="15.75" customHeight="1" outlineLevel="1">
      <c r="A141" s="177"/>
      <c r="B141" s="735" t="s">
        <v>193</v>
      </c>
      <c r="C141" s="736"/>
      <c r="D141" s="35"/>
      <c r="E141" s="35">
        <f t="shared" ref="E141:G141" si="256">E18/AVERAGE(D99,E99)</f>
        <v>10.814591340215191</v>
      </c>
      <c r="F141" s="35">
        <f t="shared" si="256"/>
        <v>13.882240019811876</v>
      </c>
      <c r="G141" s="35">
        <f t="shared" si="256"/>
        <v>12.416759665593691</v>
      </c>
      <c r="H141" s="717"/>
      <c r="I141" s="35">
        <f>I18/AVERAGE(G99,I99)</f>
        <v>10.476478537442942</v>
      </c>
      <c r="J141" s="35">
        <f t="shared" ref="J141:L141" si="257">J18/AVERAGE(I99,J99)</f>
        <v>8.7582774195381372</v>
      </c>
      <c r="K141" s="35">
        <f t="shared" si="257"/>
        <v>8.6673095838974099</v>
      </c>
      <c r="L141" s="35">
        <f t="shared" si="257"/>
        <v>9.397052146932813</v>
      </c>
      <c r="M141" s="717"/>
      <c r="N141" s="35">
        <f>N18/AVERAGE(L99,N99)</f>
        <v>10.335032639061495</v>
      </c>
      <c r="O141" s="35">
        <f t="shared" ref="O141:Q141" si="258">O18/AVERAGE(N99,O99)</f>
        <v>7.0458840730020471</v>
      </c>
      <c r="P141" s="35">
        <f t="shared" si="258"/>
        <v>6.9043157210629866</v>
      </c>
      <c r="Q141" s="35">
        <f t="shared" si="258"/>
        <v>7.7718621280192588</v>
      </c>
      <c r="R141" s="717"/>
      <c r="S141" s="35">
        <f>S18/AVERAGE(Q99,S99)</f>
        <v>8.4064351185297479</v>
      </c>
      <c r="T141" s="35">
        <f t="shared" ref="T141:V141" si="259">T18/AVERAGE(S99,T99)</f>
        <v>4.2541972333978819</v>
      </c>
      <c r="U141" s="35">
        <f t="shared" si="259"/>
        <v>4.0158071130828894</v>
      </c>
      <c r="V141" s="35">
        <f t="shared" si="259"/>
        <v>9.2855210528414496</v>
      </c>
      <c r="W141" s="717"/>
      <c r="X141" s="35">
        <f>X18/AVERAGE(V99,X99)</f>
        <v>5.9096864834368077</v>
      </c>
      <c r="Y141" s="35">
        <f t="shared" ref="Y141:AA141" si="260">Y18/AVERAGE(X99,Y99)</f>
        <v>7.743738010690949</v>
      </c>
      <c r="Z141" s="178">
        <f t="shared" si="260"/>
        <v>8.0831271080536009</v>
      </c>
      <c r="AA141" s="178">
        <f t="shared" si="260"/>
        <v>7.7200458314284166</v>
      </c>
      <c r="AB141" s="722"/>
      <c r="AC141" s="178">
        <f>AC18/AVERAGE(AA99,AC99)</f>
        <v>7.3172312606134389</v>
      </c>
      <c r="AD141" s="178">
        <f t="shared" ref="AD141:AF141" si="261">AD18/AVERAGE(AC99,AD99)</f>
        <v>7.3259952312416941</v>
      </c>
      <c r="AE141" s="178">
        <f t="shared" si="261"/>
        <v>7.2774124071426787</v>
      </c>
      <c r="AF141" s="178">
        <f t="shared" si="261"/>
        <v>7.4010081499921281</v>
      </c>
      <c r="AG141" s="178"/>
      <c r="AH141" s="178">
        <f>AH18/AVERAGE(AF99,AH99)</f>
        <v>7.3959936882734558</v>
      </c>
      <c r="AI141" s="178">
        <f t="shared" ref="AI141:AK141" si="262">AI18/AVERAGE(AH99,AI99)</f>
        <v>7.3259952312416941</v>
      </c>
      <c r="AJ141" s="178">
        <f t="shared" si="262"/>
        <v>7.2774124071426787</v>
      </c>
      <c r="AK141" s="178">
        <f t="shared" si="262"/>
        <v>7.4010081499921272</v>
      </c>
      <c r="AL141" s="178"/>
      <c r="AM141" s="178">
        <f>AM18/AVERAGE(AK99,AM99)</f>
        <v>7.3959936882734549</v>
      </c>
      <c r="AN141" s="178">
        <f t="shared" ref="AN141:AP141" si="263">AN18/AVERAGE(AM99,AN99)</f>
        <v>7.3259952312416941</v>
      </c>
      <c r="AO141" s="178">
        <f t="shared" si="263"/>
        <v>7.2774124071426778</v>
      </c>
      <c r="AP141" s="178">
        <f t="shared" si="263"/>
        <v>7.4010081499921272</v>
      </c>
      <c r="AQ141" s="179"/>
      <c r="AR141" s="177"/>
      <c r="AS141" s="177"/>
      <c r="AT141" s="177"/>
      <c r="AU141" s="177"/>
      <c r="AV141" s="177"/>
      <c r="AW141" s="177"/>
      <c r="AX141" s="177"/>
      <c r="AY141" s="177"/>
      <c r="AZ141" s="177"/>
      <c r="BA141" s="177"/>
      <c r="BB141" s="177"/>
      <c r="BC141" s="177"/>
      <c r="BD141" s="177"/>
      <c r="BE141" s="177"/>
      <c r="BF141" s="177"/>
      <c r="BG141" s="177"/>
      <c r="BH141" s="177"/>
      <c r="BI141" s="177"/>
      <c r="BJ141" s="177"/>
      <c r="BK141" s="177"/>
      <c r="BL141" s="177"/>
      <c r="BM141" s="177"/>
      <c r="BN141" s="177"/>
    </row>
    <row r="142" spans="1:66" ht="15.75" customHeight="1" outlineLevel="1">
      <c r="A142" s="170"/>
      <c r="B142" s="737" t="s">
        <v>194</v>
      </c>
      <c r="C142" s="736"/>
      <c r="D142" s="173"/>
      <c r="E142" s="173">
        <f t="shared" ref="E142:AQ142" si="264">E135/E141</f>
        <v>8.3220897737786519</v>
      </c>
      <c r="F142" s="173">
        <f t="shared" si="264"/>
        <v>6.4831035820989662</v>
      </c>
      <c r="G142" s="173">
        <f t="shared" si="264"/>
        <v>7.2482678592375551</v>
      </c>
      <c r="H142" s="716" t="e">
        <f t="shared" si="264"/>
        <v>#DIV/0!</v>
      </c>
      <c r="I142" s="173">
        <f t="shared" si="264"/>
        <v>8.5906728752738744</v>
      </c>
      <c r="J142" s="173">
        <f t="shared" si="264"/>
        <v>10.275993290555769</v>
      </c>
      <c r="K142" s="173">
        <f t="shared" si="264"/>
        <v>10.38384508235483</v>
      </c>
      <c r="L142" s="173">
        <f t="shared" si="264"/>
        <v>9.5774715935120032</v>
      </c>
      <c r="M142" s="716" t="e">
        <f t="shared" si="264"/>
        <v>#DIV/0!</v>
      </c>
      <c r="N142" s="173">
        <f t="shared" si="264"/>
        <v>8.7082453576240209</v>
      </c>
      <c r="O142" s="173">
        <f t="shared" si="264"/>
        <v>12.773414814594531</v>
      </c>
      <c r="P142" s="173">
        <f t="shared" si="264"/>
        <v>13.03532509752373</v>
      </c>
      <c r="Q142" s="173">
        <f t="shared" si="264"/>
        <v>11.580236308558584</v>
      </c>
      <c r="R142" s="716" t="e">
        <f t="shared" si="264"/>
        <v>#DIV/0!</v>
      </c>
      <c r="S142" s="173">
        <f t="shared" si="264"/>
        <v>10.706083938198603</v>
      </c>
      <c r="T142" s="173">
        <f t="shared" si="264"/>
        <v>21.155577671258051</v>
      </c>
      <c r="U142" s="173">
        <f t="shared" si="264"/>
        <v>22.411434978237295</v>
      </c>
      <c r="V142" s="173">
        <f t="shared" si="264"/>
        <v>9.6925093904621775</v>
      </c>
      <c r="W142" s="716" t="e">
        <f t="shared" si="264"/>
        <v>#DIV/0!</v>
      </c>
      <c r="X142" s="173">
        <f t="shared" si="264"/>
        <v>15.229234283788951</v>
      </c>
      <c r="Y142" s="173">
        <f t="shared" si="264"/>
        <v>11.622294023344624</v>
      </c>
      <c r="Z142" s="174">
        <f t="shared" si="264"/>
        <v>11.134304681455369</v>
      </c>
      <c r="AA142" s="173">
        <f t="shared" si="264"/>
        <v>11.65796187810294</v>
      </c>
      <c r="AB142" s="715" t="e">
        <f t="shared" si="264"/>
        <v>#DIV/0!</v>
      </c>
      <c r="AC142" s="173">
        <f t="shared" si="264"/>
        <v>12.299734256650359</v>
      </c>
      <c r="AD142" s="173">
        <f t="shared" si="264"/>
        <v>12.285020281776209</v>
      </c>
      <c r="AE142" s="173">
        <f t="shared" si="264"/>
        <v>12.367033083306678</v>
      </c>
      <c r="AF142" s="173">
        <f t="shared" si="264"/>
        <v>12.160505457637649</v>
      </c>
      <c r="AG142" s="173" t="e">
        <f t="shared" si="264"/>
        <v>#DIV/0!</v>
      </c>
      <c r="AH142" s="173">
        <f t="shared" si="264"/>
        <v>12.16875024416224</v>
      </c>
      <c r="AI142" s="173">
        <f t="shared" si="264"/>
        <v>12.285020281776209</v>
      </c>
      <c r="AJ142" s="173">
        <f t="shared" si="264"/>
        <v>12.367033083306678</v>
      </c>
      <c r="AK142" s="173">
        <f t="shared" si="264"/>
        <v>12.160505457637651</v>
      </c>
      <c r="AL142" s="173" t="e">
        <f t="shared" si="264"/>
        <v>#DIV/0!</v>
      </c>
      <c r="AM142" s="173">
        <f t="shared" si="264"/>
        <v>12.168750244162242</v>
      </c>
      <c r="AN142" s="173">
        <f t="shared" si="264"/>
        <v>12.285020281776209</v>
      </c>
      <c r="AO142" s="173">
        <f t="shared" si="264"/>
        <v>12.36703308330668</v>
      </c>
      <c r="AP142" s="173">
        <f t="shared" si="264"/>
        <v>12.160505457637651</v>
      </c>
      <c r="AQ142" s="173" t="e">
        <f t="shared" si="264"/>
        <v>#DIV/0!</v>
      </c>
      <c r="AR142" s="170"/>
      <c r="AS142" s="170"/>
      <c r="AT142" s="170"/>
      <c r="AU142" s="170"/>
      <c r="AV142" s="170"/>
      <c r="AW142" s="170"/>
      <c r="AX142" s="170"/>
      <c r="AY142" s="170"/>
      <c r="AZ142" s="170"/>
      <c r="BA142" s="170"/>
      <c r="BB142" s="170"/>
      <c r="BC142" s="170"/>
      <c r="BD142" s="170"/>
      <c r="BE142" s="170"/>
      <c r="BF142" s="170"/>
      <c r="BG142" s="170"/>
      <c r="BH142" s="170"/>
      <c r="BI142" s="170"/>
      <c r="BJ142" s="170"/>
      <c r="BK142" s="170"/>
      <c r="BL142" s="170"/>
      <c r="BM142" s="170"/>
      <c r="BN142" s="170"/>
    </row>
    <row r="143" spans="1:66" ht="15.75" customHeight="1" outlineLevel="1">
      <c r="A143" s="170"/>
      <c r="B143" s="737" t="s">
        <v>195</v>
      </c>
      <c r="C143" s="736"/>
      <c r="D143" s="173"/>
      <c r="E143" s="173">
        <f t="shared" ref="E143:AQ143" si="265">E138+E140-E142</f>
        <v>104.73064358608552</v>
      </c>
      <c r="F143" s="173">
        <f t="shared" si="265"/>
        <v>105.60469848108531</v>
      </c>
      <c r="G143" s="173">
        <f t="shared" si="265"/>
        <v>107.32632651925256</v>
      </c>
      <c r="H143" s="716" t="e">
        <f t="shared" si="265"/>
        <v>#DIV/0!</v>
      </c>
      <c r="I143" s="173">
        <f t="shared" si="265"/>
        <v>90.340347855598424</v>
      </c>
      <c r="J143" s="173">
        <f t="shared" si="265"/>
        <v>92.057702169532178</v>
      </c>
      <c r="K143" s="173">
        <f t="shared" si="265"/>
        <v>92.281252175540999</v>
      </c>
      <c r="L143" s="173">
        <f t="shared" si="265"/>
        <v>109.32809912001542</v>
      </c>
      <c r="M143" s="716" t="e">
        <f t="shared" si="265"/>
        <v>#DIV/0!</v>
      </c>
      <c r="N143" s="173">
        <f t="shared" si="265"/>
        <v>107.50574823337983</v>
      </c>
      <c r="O143" s="173">
        <f t="shared" si="265"/>
        <v>114.40227632780892</v>
      </c>
      <c r="P143" s="173">
        <f t="shared" si="265"/>
        <v>122.43401803801873</v>
      </c>
      <c r="Q143" s="173">
        <f t="shared" si="265"/>
        <v>148.40484677531515</v>
      </c>
      <c r="R143" s="716" t="e">
        <f t="shared" si="265"/>
        <v>#DIV/0!</v>
      </c>
      <c r="S143" s="173">
        <f t="shared" si="265"/>
        <v>138.1587235593226</v>
      </c>
      <c r="T143" s="173">
        <f t="shared" si="265"/>
        <v>114.93304419553016</v>
      </c>
      <c r="U143" s="173">
        <f t="shared" si="265"/>
        <v>137.75043175473735</v>
      </c>
      <c r="V143" s="173">
        <f t="shared" si="265"/>
        <v>125.87388740873784</v>
      </c>
      <c r="W143" s="716" t="e">
        <f t="shared" si="265"/>
        <v>#DIV/0!</v>
      </c>
      <c r="X143" s="173">
        <f t="shared" si="265"/>
        <v>145.13430043682635</v>
      </c>
      <c r="Y143" s="173">
        <f t="shared" si="265"/>
        <v>127.07784800521939</v>
      </c>
      <c r="Z143" s="174">
        <f t="shared" si="265"/>
        <v>139.37339438798128</v>
      </c>
      <c r="AA143" s="173">
        <f t="shared" si="265"/>
        <v>116.67198224331959</v>
      </c>
      <c r="AB143" s="715" t="e">
        <f t="shared" si="265"/>
        <v>#DIV/0!</v>
      </c>
      <c r="AC143" s="173">
        <f t="shared" si="265"/>
        <v>138.28304077034781</v>
      </c>
      <c r="AD143" s="173">
        <f t="shared" si="265"/>
        <v>118.16351181192911</v>
      </c>
      <c r="AE143" s="173">
        <f t="shared" si="265"/>
        <v>130.04637680095678</v>
      </c>
      <c r="AF143" s="173">
        <f t="shared" si="265"/>
        <v>110.393345353092</v>
      </c>
      <c r="AG143" s="173" t="e">
        <f t="shared" si="265"/>
        <v>#DIV/0!</v>
      </c>
      <c r="AH143" s="173">
        <f t="shared" si="265"/>
        <v>130.31759256658495</v>
      </c>
      <c r="AI143" s="173">
        <f t="shared" si="265"/>
        <v>111.37604375409546</v>
      </c>
      <c r="AJ143" s="173">
        <f t="shared" si="265"/>
        <v>123.57126786014562</v>
      </c>
      <c r="AK143" s="173">
        <f t="shared" si="265"/>
        <v>106.03763029655634</v>
      </c>
      <c r="AL143" s="173" t="e">
        <f t="shared" si="265"/>
        <v>#DIV/0!</v>
      </c>
      <c r="AM143" s="173">
        <f t="shared" si="265"/>
        <v>123.84121524889225</v>
      </c>
      <c r="AN143" s="173">
        <f t="shared" si="265"/>
        <v>125.46578625752178</v>
      </c>
      <c r="AO143" s="173">
        <f t="shared" si="265"/>
        <v>139.16145586014949</v>
      </c>
      <c r="AP143" s="173">
        <f t="shared" si="265"/>
        <v>119.72455511516397</v>
      </c>
      <c r="AQ143" s="173" t="e">
        <f t="shared" si="265"/>
        <v>#DIV/0!</v>
      </c>
      <c r="AR143" s="170"/>
      <c r="AS143" s="170"/>
      <c r="AT143" s="170"/>
      <c r="AU143" s="170"/>
      <c r="AV143" s="170"/>
      <c r="AW143" s="170"/>
      <c r="AX143" s="170"/>
      <c r="AY143" s="170"/>
      <c r="AZ143" s="170"/>
      <c r="BA143" s="170"/>
      <c r="BB143" s="170"/>
      <c r="BC143" s="170"/>
      <c r="BD143" s="170"/>
      <c r="BE143" s="170"/>
      <c r="BF143" s="170"/>
      <c r="BG143" s="170"/>
      <c r="BH143" s="170"/>
      <c r="BI143" s="170"/>
      <c r="BJ143" s="170"/>
      <c r="BK143" s="170"/>
      <c r="BL143" s="170"/>
      <c r="BM143" s="170"/>
      <c r="BN143" s="170"/>
    </row>
    <row r="144" spans="1:66" ht="15.75" customHeight="1" outlineLevel="1">
      <c r="A144" s="80"/>
      <c r="B144" s="81" t="s">
        <v>196</v>
      </c>
      <c r="C144" s="116"/>
      <c r="D144" s="113"/>
      <c r="E144" s="113"/>
      <c r="F144" s="113"/>
      <c r="G144" s="48">
        <f>(G109+G106)/(D17+E17+F17+G17)</f>
        <v>0</v>
      </c>
      <c r="H144" s="675"/>
      <c r="I144" s="48">
        <f>(I109+I106)/(F17+G17+E17+I17)</f>
        <v>0</v>
      </c>
      <c r="J144" s="48">
        <f>(J109+J106)/(G17+F17+I17+J17)</f>
        <v>0</v>
      </c>
      <c r="K144" s="48">
        <f>(K109+K106)/(G17+I17+J17+K17)</f>
        <v>0</v>
      </c>
      <c r="L144" s="48">
        <f>(L109+L106)/(I17+J17+K17+L17)</f>
        <v>0</v>
      </c>
      <c r="M144" s="675"/>
      <c r="N144" s="48">
        <f>(N109+N106)/(K17+L17+J17+N17)</f>
        <v>0</v>
      </c>
      <c r="O144" s="48">
        <f>(O109+O106)/(L17+K17+N17+O17)</f>
        <v>0</v>
      </c>
      <c r="P144" s="48">
        <f>(P109+P106)/(L17+N17+O17+P17)</f>
        <v>0</v>
      </c>
      <c r="Q144" s="48">
        <f>(Q109+Q106)/(N17+O17+P17+Q17)</f>
        <v>0</v>
      </c>
      <c r="R144" s="675"/>
      <c r="S144" s="48">
        <f>(S109+S106)/(P17+Q17+O17+S17)</f>
        <v>0</v>
      </c>
      <c r="T144" s="48">
        <f>(T109+T106)/(Q17+P17+S17+T17)</f>
        <v>0</v>
      </c>
      <c r="U144" s="48">
        <f>(U109+U106)/(Q17+S17+T17+U17)</f>
        <v>0</v>
      </c>
      <c r="V144" s="48">
        <f>(V109+V106)/(S17+T17+U17+V17)</f>
        <v>0</v>
      </c>
      <c r="W144" s="675"/>
      <c r="X144" s="48">
        <f>(X109+X106)/(U17+V17+T17+X17)</f>
        <v>0</v>
      </c>
      <c r="Y144" s="48">
        <f>(Y109+Y106)/(V17+U17+X17+Y17)</f>
        <v>0</v>
      </c>
      <c r="Z144" s="180">
        <f>(Z109+Z106)/(V17+X17+Y17+Z17)</f>
        <v>0</v>
      </c>
      <c r="AA144" s="48">
        <f>(AA106+AA109)/(AA17+Z17+Y17+X17)</f>
        <v>0</v>
      </c>
      <c r="AB144" s="655"/>
      <c r="AC144" s="48"/>
      <c r="AD144" s="88"/>
      <c r="AE144" s="88"/>
      <c r="AF144" s="88"/>
      <c r="AG144" s="88"/>
      <c r="AH144" s="88"/>
      <c r="AI144" s="88"/>
      <c r="AJ144" s="88"/>
      <c r="AK144" s="88"/>
      <c r="AL144" s="88"/>
      <c r="AM144" s="145"/>
      <c r="AN144" s="145"/>
      <c r="AO144" s="145"/>
      <c r="AP144" s="145"/>
      <c r="AQ144" s="145"/>
      <c r="AR144" s="80"/>
      <c r="AS144" s="80"/>
      <c r="AT144" s="80"/>
      <c r="AU144" s="80"/>
      <c r="AV144" s="80"/>
      <c r="AW144" s="80"/>
      <c r="AX144" s="80"/>
      <c r="AY144" s="80"/>
      <c r="AZ144" s="80"/>
      <c r="BA144" s="80"/>
      <c r="BB144" s="80"/>
      <c r="BC144" s="80"/>
      <c r="BD144" s="80"/>
      <c r="BE144" s="80"/>
      <c r="BF144" s="80"/>
      <c r="BG144" s="80"/>
      <c r="BH144" s="80"/>
      <c r="BI144" s="80"/>
      <c r="BJ144" s="80"/>
      <c r="BK144" s="80"/>
      <c r="BL144" s="80"/>
      <c r="BM144" s="80"/>
      <c r="BN144" s="80"/>
    </row>
    <row r="145" spans="1:66" ht="15.75" customHeight="1" outlineLevel="1">
      <c r="A145" s="80"/>
      <c r="B145" s="81" t="s">
        <v>197</v>
      </c>
      <c r="C145" s="116"/>
      <c r="D145" s="113" t="e">
        <f t="shared" ref="D145:Z145" si="266">D106/(D106+D109)</f>
        <v>#DIV/0!</v>
      </c>
      <c r="E145" s="113" t="e">
        <f t="shared" si="266"/>
        <v>#DIV/0!</v>
      </c>
      <c r="F145" s="113" t="e">
        <f t="shared" si="266"/>
        <v>#DIV/0!</v>
      </c>
      <c r="G145" s="113" t="e">
        <f t="shared" si="266"/>
        <v>#DIV/0!</v>
      </c>
      <c r="H145" s="712" t="e">
        <f t="shared" si="266"/>
        <v>#DIV/0!</v>
      </c>
      <c r="I145" s="113" t="e">
        <f t="shared" si="266"/>
        <v>#DIV/0!</v>
      </c>
      <c r="J145" s="113" t="e">
        <f t="shared" si="266"/>
        <v>#DIV/0!</v>
      </c>
      <c r="K145" s="113" t="e">
        <f t="shared" si="266"/>
        <v>#DIV/0!</v>
      </c>
      <c r="L145" s="113" t="e">
        <f t="shared" si="266"/>
        <v>#DIV/0!</v>
      </c>
      <c r="M145" s="712" t="e">
        <f t="shared" si="266"/>
        <v>#DIV/0!</v>
      </c>
      <c r="N145" s="113" t="e">
        <f t="shared" si="266"/>
        <v>#DIV/0!</v>
      </c>
      <c r="O145" s="113" t="e">
        <f t="shared" si="266"/>
        <v>#DIV/0!</v>
      </c>
      <c r="P145" s="113" t="e">
        <f t="shared" si="266"/>
        <v>#DIV/0!</v>
      </c>
      <c r="Q145" s="113" t="e">
        <f t="shared" si="266"/>
        <v>#DIV/0!</v>
      </c>
      <c r="R145" s="712" t="e">
        <f t="shared" si="266"/>
        <v>#DIV/0!</v>
      </c>
      <c r="S145" s="113" t="e">
        <f t="shared" si="266"/>
        <v>#DIV/0!</v>
      </c>
      <c r="T145" s="113" t="e">
        <f t="shared" si="266"/>
        <v>#DIV/0!</v>
      </c>
      <c r="U145" s="113" t="e">
        <f t="shared" si="266"/>
        <v>#DIV/0!</v>
      </c>
      <c r="V145" s="113" t="e">
        <f t="shared" si="266"/>
        <v>#DIV/0!</v>
      </c>
      <c r="W145" s="712" t="e">
        <f t="shared" si="266"/>
        <v>#DIV/0!</v>
      </c>
      <c r="X145" s="113" t="e">
        <f t="shared" si="266"/>
        <v>#DIV/0!</v>
      </c>
      <c r="Y145" s="113" t="e">
        <f t="shared" si="266"/>
        <v>#DIV/0!</v>
      </c>
      <c r="Z145" s="122" t="e">
        <f t="shared" si="266"/>
        <v>#DIV/0!</v>
      </c>
      <c r="AA145" s="88"/>
      <c r="AB145" s="721"/>
      <c r="AC145" s="88"/>
      <c r="AD145" s="88"/>
      <c r="AE145" s="88"/>
      <c r="AF145" s="88"/>
      <c r="AG145" s="88"/>
      <c r="AH145" s="88"/>
      <c r="AI145" s="88"/>
      <c r="AJ145" s="88"/>
      <c r="AK145" s="88"/>
      <c r="AL145" s="88"/>
      <c r="AM145" s="145"/>
      <c r="AN145" s="145"/>
      <c r="AO145" s="145"/>
      <c r="AP145" s="145"/>
      <c r="AQ145" s="145"/>
      <c r="AR145" s="80"/>
      <c r="AS145" s="80"/>
      <c r="AT145" s="80"/>
      <c r="AU145" s="80"/>
      <c r="AV145" s="80"/>
      <c r="AW145" s="80"/>
      <c r="AX145" s="80"/>
      <c r="AY145" s="80"/>
      <c r="AZ145" s="80"/>
      <c r="BA145" s="80"/>
      <c r="BB145" s="80"/>
      <c r="BC145" s="80"/>
      <c r="BD145" s="80"/>
      <c r="BE145" s="80"/>
      <c r="BF145" s="80"/>
      <c r="BG145" s="80"/>
      <c r="BH145" s="80"/>
      <c r="BI145" s="80"/>
      <c r="BJ145" s="80"/>
      <c r="BK145" s="80"/>
      <c r="BL145" s="80"/>
      <c r="BM145" s="80"/>
      <c r="BN145" s="80"/>
    </row>
    <row r="146" spans="1:66" ht="15.75" customHeight="1" outlineLevel="1">
      <c r="A146" s="80"/>
      <c r="B146" s="738" t="s">
        <v>198</v>
      </c>
      <c r="C146" s="736"/>
      <c r="D146" s="113"/>
      <c r="E146" s="113">
        <f t="shared" ref="E146:G146" si="267">E245/((E91+E94+D91+D94)/2)</f>
        <v>2.1455021366494208E-2</v>
      </c>
      <c r="F146" s="113">
        <f t="shared" si="267"/>
        <v>2.1643586202835446E-2</v>
      </c>
      <c r="G146" s="113">
        <f t="shared" si="267"/>
        <v>2.1961100533460648E-2</v>
      </c>
      <c r="H146" s="699"/>
      <c r="I146" s="113">
        <f>I245/((I91+I94+G91+G94)/2)</f>
        <v>1.8731834945563339E-2</v>
      </c>
      <c r="J146" s="113">
        <f t="shared" ref="J146:L146" si="268">J245/((J91+J94+I91+I94)/2)</f>
        <v>1.8335425668423382E-2</v>
      </c>
      <c r="K146" s="113">
        <f t="shared" si="268"/>
        <v>1.777439837953429E-2</v>
      </c>
      <c r="L146" s="113">
        <f t="shared" si="268"/>
        <v>1.7454124075772112E-2</v>
      </c>
      <c r="M146" s="698"/>
      <c r="N146" s="113">
        <f>N245/((N91+N94+L91+L94)/2)</f>
        <v>1.6407937801421978E-2</v>
      </c>
      <c r="O146" s="113">
        <f t="shared" ref="O146:Q146" si="269">O245/((O91+O94+N91+N94)/2)</f>
        <v>2.2428666846336136E-2</v>
      </c>
      <c r="P146" s="113">
        <f t="shared" si="269"/>
        <v>2.1235174216491595E-2</v>
      </c>
      <c r="Q146" s="113">
        <f t="shared" si="269"/>
        <v>2.3833458826161703E-2</v>
      </c>
      <c r="R146" s="712"/>
      <c r="S146" s="113">
        <f>S245/((S91+S94+Q91+Q95)/2)</f>
        <v>1.977983585073706E-2</v>
      </c>
      <c r="T146" s="113">
        <f t="shared" ref="T146:V146" si="270">T245/((T91+T94+S91+S95)/2)</f>
        <v>2.00701819506021E-2</v>
      </c>
      <c r="U146" s="113">
        <f t="shared" si="270"/>
        <v>1.9606524396811889E-2</v>
      </c>
      <c r="V146" s="113">
        <f t="shared" si="270"/>
        <v>1.9093493070105869E-2</v>
      </c>
      <c r="W146" s="712"/>
      <c r="X146" s="114">
        <f>X245/((X91+X94+V91+V94)/2)</f>
        <v>1.8752416357266152E-2</v>
      </c>
      <c r="Y146" s="114">
        <f t="shared" ref="Y146:Z146" si="271">Y245/((Y91+Y94+X91+X94)/2)</f>
        <v>1.8396662892973373E-2</v>
      </c>
      <c r="Z146" s="112">
        <f t="shared" si="271"/>
        <v>1.8237383774604512E-2</v>
      </c>
      <c r="AA146" s="113">
        <f t="shared" ref="AA146:AA147" si="272">AVERAGE(V146,X146:Z146)</f>
        <v>1.8619989023737477E-2</v>
      </c>
      <c r="AB146" s="699"/>
      <c r="AC146" s="88">
        <f t="shared" ref="AC146:AC147" si="273">AVERAGE(X146:AA146)</f>
        <v>1.8501613012145379E-2</v>
      </c>
      <c r="AD146" s="88">
        <f t="shared" ref="AD146:AD147" si="274">AVERAGE(Y146:AA146,AC146)</f>
        <v>1.8438912175865185E-2</v>
      </c>
      <c r="AE146" s="88">
        <f t="shared" ref="AE146:AE147" si="275">AVERAGE(Z146:AA146,AC146:AD146)</f>
        <v>1.8449474496588139E-2</v>
      </c>
      <c r="AF146" s="88">
        <f t="shared" ref="AF146:AF147" si="276">AVERAGE(AA146,AC146:AE146)</f>
        <v>1.8502497177084045E-2</v>
      </c>
      <c r="AG146" s="88"/>
      <c r="AH146" s="88">
        <f t="shared" ref="AH146:AH147" si="277">AVERAGE(AC146:AF146)</f>
        <v>1.8473124215420689E-2</v>
      </c>
      <c r="AI146" s="88">
        <f t="shared" ref="AI146:AI147" si="278">AVERAGE(AD146:AF146,AH146)</f>
        <v>1.8466002016239515E-2</v>
      </c>
      <c r="AJ146" s="88">
        <f t="shared" ref="AJ146:AJ147" si="279">AVERAGE(AE146:AF146,AH146:AI146)</f>
        <v>1.8472774476333099E-2</v>
      </c>
      <c r="AK146" s="88">
        <f t="shared" ref="AK146:AK147" si="280">AVERAGE(AF146,AH146:AJ146)</f>
        <v>1.8478599471269338E-2</v>
      </c>
      <c r="AL146" s="88"/>
      <c r="AM146" s="176">
        <f t="shared" ref="AM146:AM147" si="281">AVERAGE(AH146:AK146)</f>
        <v>1.8472625044815661E-2</v>
      </c>
      <c r="AN146" s="176">
        <f>AVERAGE(AI146:AK146,AM146)</f>
        <v>1.8472500252164403E-2</v>
      </c>
      <c r="AO146" s="176">
        <f t="shared" ref="AO146:AO147" si="282">AVERAGE(AJ146:AK146,AM146:AN146)</f>
        <v>1.8474124811145624E-2</v>
      </c>
      <c r="AP146" s="176">
        <f t="shared" ref="AP146:AP147" si="283">AVERAGE(AK146,AM146:AO146)</f>
        <v>1.8474462394848755E-2</v>
      </c>
      <c r="AQ146" s="145"/>
      <c r="AR146" s="80"/>
      <c r="AS146" s="80"/>
      <c r="AT146" s="80"/>
      <c r="AU146" s="80"/>
      <c r="AV146" s="80"/>
      <c r="AW146" s="80"/>
      <c r="AX146" s="80"/>
      <c r="AY146" s="80"/>
      <c r="AZ146" s="80"/>
      <c r="BA146" s="80"/>
      <c r="BB146" s="80"/>
      <c r="BC146" s="80"/>
      <c r="BD146" s="80"/>
      <c r="BE146" s="80"/>
      <c r="BF146" s="80"/>
      <c r="BG146" s="80"/>
      <c r="BH146" s="80"/>
      <c r="BI146" s="80"/>
      <c r="BJ146" s="80"/>
      <c r="BK146" s="80"/>
      <c r="BL146" s="80"/>
      <c r="BM146" s="80"/>
      <c r="BN146" s="80"/>
    </row>
    <row r="147" spans="1:66" ht="15.75" customHeight="1" outlineLevel="1">
      <c r="A147" s="80"/>
      <c r="B147" s="738" t="s">
        <v>199</v>
      </c>
      <c r="C147" s="736"/>
      <c r="D147" s="113">
        <f t="shared" ref="D147:Z147" si="284">(D102+D110)/D127</f>
        <v>0</v>
      </c>
      <c r="E147" s="113">
        <f t="shared" si="284"/>
        <v>0</v>
      </c>
      <c r="F147" s="113">
        <f t="shared" si="284"/>
        <v>0</v>
      </c>
      <c r="G147" s="113">
        <f t="shared" si="284"/>
        <v>1.1409580942771905E-3</v>
      </c>
      <c r="H147" s="712">
        <f t="shared" si="284"/>
        <v>1.1409580942771905E-3</v>
      </c>
      <c r="I147" s="113">
        <f t="shared" si="284"/>
        <v>1.5651649717706166E-3</v>
      </c>
      <c r="J147" s="113">
        <f t="shared" si="284"/>
        <v>1.5352255486753811E-2</v>
      </c>
      <c r="K147" s="113">
        <f t="shared" si="284"/>
        <v>1.8321295933612779E-2</v>
      </c>
      <c r="L147" s="113">
        <f t="shared" si="284"/>
        <v>1.8195997158135649E-2</v>
      </c>
      <c r="M147" s="712">
        <f t="shared" si="284"/>
        <v>1.8195997158135649E-2</v>
      </c>
      <c r="N147" s="113">
        <f t="shared" si="284"/>
        <v>1.8238136724427464E-2</v>
      </c>
      <c r="O147" s="113">
        <f t="shared" si="284"/>
        <v>1.9002674572044936E-2</v>
      </c>
      <c r="P147" s="113">
        <f t="shared" si="284"/>
        <v>1.7496833105191869E-2</v>
      </c>
      <c r="Q147" s="113">
        <f t="shared" si="284"/>
        <v>1.7248501787543412E-2</v>
      </c>
      <c r="R147" s="712">
        <f t="shared" si="284"/>
        <v>1.7248501787543412E-2</v>
      </c>
      <c r="S147" s="113">
        <f t="shared" si="284"/>
        <v>1.47196505435498E-2</v>
      </c>
      <c r="T147" s="113">
        <f t="shared" si="284"/>
        <v>1.3799543120024748E-2</v>
      </c>
      <c r="U147" s="113">
        <f t="shared" si="284"/>
        <v>1.271058438047544E-2</v>
      </c>
      <c r="V147" s="113">
        <f t="shared" si="284"/>
        <v>1.1348961699807101E-2</v>
      </c>
      <c r="W147" s="712">
        <f t="shared" si="284"/>
        <v>1.1348961699807101E-2</v>
      </c>
      <c r="X147" s="113">
        <f t="shared" si="284"/>
        <v>1.0275532875196225E-2</v>
      </c>
      <c r="Y147" s="113">
        <f t="shared" si="284"/>
        <v>8.7647409185729677E-3</v>
      </c>
      <c r="Z147" s="122">
        <f t="shared" si="284"/>
        <v>7.2595611406033253E-3</v>
      </c>
      <c r="AA147" s="113">
        <f t="shared" si="272"/>
        <v>9.4121991585449042E-3</v>
      </c>
      <c r="AB147" s="699">
        <f>(AB102+AB110)/AB127</f>
        <v>9.4121991585449042E-3</v>
      </c>
      <c r="AC147" s="113">
        <f t="shared" si="273"/>
        <v>8.9280085232293551E-3</v>
      </c>
      <c r="AD147" s="113">
        <f t="shared" si="274"/>
        <v>8.5911274352376381E-3</v>
      </c>
      <c r="AE147" s="113">
        <f t="shared" si="275"/>
        <v>8.5477240644038048E-3</v>
      </c>
      <c r="AF147" s="113">
        <f t="shared" si="276"/>
        <v>8.8697647953539255E-3</v>
      </c>
      <c r="AG147" s="113">
        <f>(AG102+AG110)/AG127</f>
        <v>8.8697647953539255E-3</v>
      </c>
      <c r="AH147" s="113">
        <f t="shared" si="277"/>
        <v>8.7341562045561809E-3</v>
      </c>
      <c r="AI147" s="113">
        <f t="shared" si="278"/>
        <v>8.685693124887886E-3</v>
      </c>
      <c r="AJ147" s="113">
        <f t="shared" si="279"/>
        <v>8.7093345473004506E-3</v>
      </c>
      <c r="AK147" s="113">
        <f t="shared" si="280"/>
        <v>8.7497371680246121E-3</v>
      </c>
      <c r="AL147" s="113">
        <f>(AL102+AL110)/AL127</f>
        <v>8.7497371680246121E-3</v>
      </c>
      <c r="AM147" s="113">
        <f t="shared" si="281"/>
        <v>8.7197302611922815E-3</v>
      </c>
      <c r="AN147" s="113">
        <f>AVERAGE(AM147,AI147:AK147)</f>
        <v>8.7161237753513067E-3</v>
      </c>
      <c r="AO147" s="113">
        <f t="shared" si="282"/>
        <v>8.7237314379671627E-3</v>
      </c>
      <c r="AP147" s="113">
        <f t="shared" si="283"/>
        <v>8.7273306606338412E-3</v>
      </c>
      <c r="AQ147" s="113">
        <f>(AQ102+AQ110)/AQ127</f>
        <v>8.7273306606338412E-3</v>
      </c>
      <c r="AR147" s="80"/>
      <c r="AS147" s="80"/>
      <c r="AT147" s="80"/>
      <c r="AU147" s="80"/>
      <c r="AV147" s="80"/>
      <c r="AW147" s="80"/>
      <c r="AX147" s="80"/>
      <c r="AY147" s="80"/>
      <c r="AZ147" s="80"/>
      <c r="BA147" s="80"/>
      <c r="BB147" s="80"/>
      <c r="BC147" s="80"/>
      <c r="BD147" s="80"/>
      <c r="BE147" s="80"/>
      <c r="BF147" s="80"/>
      <c r="BG147" s="80"/>
      <c r="BH147" s="80"/>
      <c r="BI147" s="80"/>
      <c r="BJ147" s="80"/>
      <c r="BK147" s="80"/>
      <c r="BL147" s="80"/>
      <c r="BM147" s="80"/>
      <c r="BN147" s="80"/>
    </row>
    <row r="148" spans="1:66" ht="15.75" customHeight="1" outlineLevel="1">
      <c r="A148" s="181"/>
      <c r="B148" s="182" t="s">
        <v>200</v>
      </c>
      <c r="C148" s="183"/>
      <c r="D148" s="113"/>
      <c r="E148" s="113" t="e">
        <f t="shared" ref="E148:G148" si="285">(E102+E110)/(D102+D110)-1</f>
        <v>#DIV/0!</v>
      </c>
      <c r="F148" s="113" t="e">
        <f t="shared" si="285"/>
        <v>#DIV/0!</v>
      </c>
      <c r="G148" s="113" t="e">
        <f t="shared" si="285"/>
        <v>#DIV/0!</v>
      </c>
      <c r="H148" s="712"/>
      <c r="I148" s="113">
        <f>(I102+I110)/(G102+G110)-1</f>
        <v>0.45431628458698547</v>
      </c>
      <c r="J148" s="113">
        <f t="shared" ref="J148:L148" si="286">(J102+J110)/(I102+I110)-1</f>
        <v>8.6869315576838559</v>
      </c>
      <c r="K148" s="113">
        <f t="shared" si="286"/>
        <v>0.24939675152644947</v>
      </c>
      <c r="L148" s="113">
        <f t="shared" si="286"/>
        <v>4.869144287818794E-2</v>
      </c>
      <c r="M148" s="712"/>
      <c r="N148" s="113">
        <f>(N102+N110)/(L102+L110)-1</f>
        <v>3.7448010394837805E-2</v>
      </c>
      <c r="O148" s="113">
        <f t="shared" ref="O148:Q148" si="287">(O102+O110)/(N102+N110)-1</f>
        <v>5.3965955061578974E-3</v>
      </c>
      <c r="P148" s="113">
        <f t="shared" si="287"/>
        <v>-4.1955279478280372E-2</v>
      </c>
      <c r="Q148" s="113">
        <f t="shared" si="287"/>
        <v>3.8718228934937704E-2</v>
      </c>
      <c r="R148" s="712"/>
      <c r="S148" s="113">
        <f>(S102+S110)/(Q102+Q110)-1</f>
        <v>-0.10169884973347998</v>
      </c>
      <c r="T148" s="113">
        <f t="shared" ref="T148:V148" si="288">(T102+T110)/(S102+S110)-1</f>
        <v>-9.4870588804462863E-2</v>
      </c>
      <c r="U148" s="113">
        <f t="shared" si="288"/>
        <v>-4.1812084231685254E-2</v>
      </c>
      <c r="V148" s="113">
        <f t="shared" si="288"/>
        <v>-7.6828060857580427E-2</v>
      </c>
      <c r="W148" s="712"/>
      <c r="X148" s="113">
        <f>(X102+X110)/(V102+V110)-1</f>
        <v>-4.5411115405063374E-2</v>
      </c>
      <c r="Y148" s="113">
        <f t="shared" ref="Y148:AA148" si="289">(Y102+Y110)/(X102+X110)-1</f>
        <v>-0.1711823755892804</v>
      </c>
      <c r="Z148" s="122">
        <f t="shared" si="289"/>
        <v>-0.13519971978828582</v>
      </c>
      <c r="AA148" s="113">
        <f t="shared" si="289"/>
        <v>0.33452034495422067</v>
      </c>
      <c r="AB148" s="699"/>
      <c r="AC148" s="113">
        <f>(AC102+AC110)/(AA102+AA110)-1</f>
        <v>-1.815065910937852E-2</v>
      </c>
      <c r="AD148" s="113">
        <f t="shared" ref="AD148:AF148" si="290">(AD102+AD110)/(AC102+AC110)-1</f>
        <v>-5.5779773700841417E-3</v>
      </c>
      <c r="AE148" s="113">
        <f t="shared" si="290"/>
        <v>2.5180207122728282E-2</v>
      </c>
      <c r="AF148" s="113">
        <f t="shared" si="290"/>
        <v>6.3904651837682902E-2</v>
      </c>
      <c r="AG148" s="113"/>
      <c r="AH148" s="113">
        <f>(AH102+AH110)/(AF102+AF110)-1</f>
        <v>1.7244064320177666E-2</v>
      </c>
      <c r="AI148" s="113">
        <f t="shared" ref="AI148:AK148" si="291">(AI102+AI110)/(AH102+AH110)-1</f>
        <v>2.6114136238323926E-2</v>
      </c>
      <c r="AJ148" s="113">
        <f t="shared" si="291"/>
        <v>3.2542495852073472E-2</v>
      </c>
      <c r="AK148" s="113">
        <f t="shared" si="291"/>
        <v>2.9041357725370975E-2</v>
      </c>
      <c r="AL148" s="113"/>
      <c r="AM148" s="113">
        <f>(AM102+AM110)/(AK102+AK110)-1</f>
        <v>2.8700054797052843E-2</v>
      </c>
      <c r="AN148" s="113">
        <f t="shared" ref="AN148:AP148" si="292">(AN102+AN110)/(AM102+AM110)-1</f>
        <v>3.0484391304034686E-2</v>
      </c>
      <c r="AO148" s="113">
        <f t="shared" si="292"/>
        <v>2.9744868289564019E-2</v>
      </c>
      <c r="AP148" s="113">
        <f t="shared" si="292"/>
        <v>2.3985692476414799E-2</v>
      </c>
      <c r="AQ148" s="113"/>
      <c r="AR148" s="181"/>
      <c r="AS148" s="181"/>
      <c r="AT148" s="181"/>
      <c r="AU148" s="181"/>
      <c r="AV148" s="181"/>
      <c r="AW148" s="181"/>
      <c r="AX148" s="181"/>
      <c r="AY148" s="181"/>
      <c r="AZ148" s="181"/>
      <c r="BA148" s="181"/>
      <c r="BB148" s="181"/>
      <c r="BC148" s="181"/>
      <c r="BD148" s="181"/>
      <c r="BE148" s="181"/>
      <c r="BF148" s="181"/>
      <c r="BG148" s="181"/>
      <c r="BH148" s="181"/>
      <c r="BI148" s="181"/>
      <c r="BJ148" s="181"/>
      <c r="BK148" s="181"/>
      <c r="BL148" s="181"/>
      <c r="BM148" s="181"/>
      <c r="BN148" s="181"/>
    </row>
    <row r="149" spans="1:66" ht="15.75" customHeight="1" outlineLevel="1">
      <c r="A149" s="80"/>
      <c r="B149" s="184" t="s">
        <v>201</v>
      </c>
      <c r="C149" s="116"/>
      <c r="D149" s="113"/>
      <c r="E149" s="113"/>
      <c r="F149" s="113">
        <f t="shared" ref="F149:G149" si="293">F120/E120-1</f>
        <v>-0.9461150556091471</v>
      </c>
      <c r="G149" s="113">
        <f t="shared" si="293"/>
        <v>56.696808203370416</v>
      </c>
      <c r="H149" s="712"/>
      <c r="I149" s="113">
        <f>I120/G120-1</f>
        <v>0.42586834248688477</v>
      </c>
      <c r="J149" s="113">
        <f t="shared" ref="J149:L149" si="294">J120/I120-1</f>
        <v>-0.30848094383326452</v>
      </c>
      <c r="K149" s="113">
        <f t="shared" si="294"/>
        <v>-8.1665668126401636E-2</v>
      </c>
      <c r="L149" s="113">
        <f t="shared" si="294"/>
        <v>-0.19507882418214828</v>
      </c>
      <c r="M149" s="712"/>
      <c r="N149" s="113">
        <f>N120/L120-1</f>
        <v>-0.14138210768796644</v>
      </c>
      <c r="O149" s="113">
        <f t="shared" ref="O149:Q149" si="295">O120/N120-1</f>
        <v>-0.14966954220194517</v>
      </c>
      <c r="P149" s="113">
        <f t="shared" si="295"/>
        <v>6.1565490581391158E-2</v>
      </c>
      <c r="Q149" s="113">
        <f t="shared" si="295"/>
        <v>0.14093655751003986</v>
      </c>
      <c r="R149" s="712"/>
      <c r="S149" s="113">
        <f>S120/Q120-1</f>
        <v>0.12068512659130892</v>
      </c>
      <c r="T149" s="113">
        <f t="shared" ref="T149:V149" si="296">T120/S120-1</f>
        <v>-0.10609209531541308</v>
      </c>
      <c r="U149" s="113">
        <f t="shared" si="296"/>
        <v>-0.44691427593357569</v>
      </c>
      <c r="V149" s="113">
        <f t="shared" si="296"/>
        <v>-1.6758209805052329</v>
      </c>
      <c r="W149" s="712"/>
      <c r="X149" s="113">
        <f>X120/V120-1</f>
        <v>-2.6151689176256205</v>
      </c>
      <c r="Y149" s="113">
        <f t="shared" ref="Y149:AA149" si="297">Y120/X120-1</f>
        <v>-1.3779727780160942</v>
      </c>
      <c r="Z149" s="122">
        <f t="shared" si="297"/>
        <v>2.1964416638395972</v>
      </c>
      <c r="AA149" s="113">
        <f t="shared" si="297"/>
        <v>0.29103697931715677</v>
      </c>
      <c r="AB149" s="721"/>
      <c r="AC149" s="88">
        <f>AC120/AA120-1</f>
        <v>5.2934420339757926E-2</v>
      </c>
      <c r="AD149" s="88">
        <f t="shared" ref="AD149:AF149" si="298">AD120/AC120-1</f>
        <v>-3.7195782882117445E-2</v>
      </c>
      <c r="AE149" s="88">
        <f t="shared" si="298"/>
        <v>0.12903572613853309</v>
      </c>
      <c r="AF149" s="88">
        <f t="shared" si="298"/>
        <v>0.19285339005150859</v>
      </c>
      <c r="AG149" s="88"/>
      <c r="AH149" s="88">
        <f>AH120/AF120-1</f>
        <v>4.1395086231825529E-2</v>
      </c>
      <c r="AI149" s="88">
        <f t="shared" ref="AI149:AK149" si="299">AI120/AH120-1</f>
        <v>-2.9985075052822441E-2</v>
      </c>
      <c r="AJ149" s="88">
        <f t="shared" si="299"/>
        <v>0.12553082821188521</v>
      </c>
      <c r="AK149" s="88">
        <f t="shared" si="299"/>
        <v>0.15566058315265252</v>
      </c>
      <c r="AL149" s="88"/>
      <c r="AM149" s="88">
        <f>AM120/AK120-1</f>
        <v>4.0453604208291027E-2</v>
      </c>
      <c r="AN149" s="88">
        <f t="shared" ref="AN149:AP149" si="300">AN120/AM120-1</f>
        <v>-2.5154995767149635E-2</v>
      </c>
      <c r="AO149" s="88">
        <f t="shared" si="300"/>
        <v>0.19568102385991404</v>
      </c>
      <c r="AP149" s="88">
        <f t="shared" si="300"/>
        <v>0.12221500116431261</v>
      </c>
      <c r="AQ149" s="145"/>
      <c r="AR149" s="80"/>
      <c r="AS149" s="80"/>
      <c r="AT149" s="80"/>
      <c r="AU149" s="80"/>
      <c r="AV149" s="80"/>
      <c r="AW149" s="80"/>
      <c r="AX149" s="80"/>
      <c r="AY149" s="80"/>
      <c r="AZ149" s="80"/>
      <c r="BA149" s="80"/>
      <c r="BB149" s="80"/>
      <c r="BC149" s="80"/>
      <c r="BD149" s="80"/>
      <c r="BE149" s="80"/>
      <c r="BF149" s="80"/>
      <c r="BG149" s="80"/>
      <c r="BH149" s="80"/>
      <c r="BI149" s="80"/>
      <c r="BJ149" s="80"/>
      <c r="BK149" s="80"/>
      <c r="BL149" s="80"/>
      <c r="BM149" s="80"/>
      <c r="BN149" s="80"/>
    </row>
    <row r="150" spans="1:66" ht="15.75" customHeight="1" outlineLevel="1">
      <c r="A150" s="170"/>
      <c r="B150" s="171" t="s">
        <v>202</v>
      </c>
      <c r="C150" s="185"/>
      <c r="D150" s="173"/>
      <c r="E150" s="173">
        <f t="shared" ref="E150:G150" si="301">E18/AVERAGE(D100:E100)</f>
        <v>1.6814658043627828</v>
      </c>
      <c r="F150" s="173">
        <f t="shared" si="301"/>
        <v>1.5760232118453728</v>
      </c>
      <c r="G150" s="173">
        <f t="shared" si="301"/>
        <v>3.3646844973781067</v>
      </c>
      <c r="H150" s="716"/>
      <c r="I150" s="173">
        <f>I18/AVERAGE(G100,G100)</f>
        <v>5.2573704230889504</v>
      </c>
      <c r="J150" s="173">
        <f t="shared" ref="J150:L150" si="302">J18/AVERAGE(I100:J100)</f>
        <v>3.2687187712665793</v>
      </c>
      <c r="K150" s="173">
        <f t="shared" si="302"/>
        <v>5.0332845929866448</v>
      </c>
      <c r="L150" s="173">
        <f t="shared" si="302"/>
        <v>4.5408210420097612</v>
      </c>
      <c r="M150" s="716"/>
      <c r="N150" s="173">
        <f>N18/AVERAGE(L100,L100)</f>
        <v>4.8222321704857434</v>
      </c>
      <c r="O150" s="173">
        <f t="shared" ref="O150:Q150" si="303">O18/AVERAGE(N100:O100)</f>
        <v>3.5952386412771653</v>
      </c>
      <c r="P150" s="173">
        <f t="shared" si="303"/>
        <v>3.9027064907699973</v>
      </c>
      <c r="Q150" s="173">
        <f t="shared" si="303"/>
        <v>3.9834047257287457</v>
      </c>
      <c r="R150" s="716"/>
      <c r="S150" s="173">
        <f>S18/AVERAGE(Q100,Q100)</f>
        <v>4.6273414107882376</v>
      </c>
      <c r="T150" s="173">
        <f t="shared" ref="T150:V150" si="304">T18/AVERAGE(S100:T100)</f>
        <v>4.9879124083458519</v>
      </c>
      <c r="U150" s="173">
        <f t="shared" si="304"/>
        <v>4.6775242357086828</v>
      </c>
      <c r="V150" s="173">
        <f t="shared" si="304"/>
        <v>5.940196173657375</v>
      </c>
      <c r="W150" s="716"/>
      <c r="X150" s="173">
        <f>X18/AVERAGE(V100,V100)</f>
        <v>4.848287409664306</v>
      </c>
      <c r="Y150" s="173">
        <f t="shared" ref="Y150:Z150" si="305">Y18/AVERAGE(X100:Y100)</f>
        <v>1.4915493312993637</v>
      </c>
      <c r="Z150" s="174">
        <f t="shared" si="305"/>
        <v>1.4940749870276875</v>
      </c>
      <c r="AA150" s="173">
        <f>X150*(V150/U150)</f>
        <v>6.1570559271117791</v>
      </c>
      <c r="AB150" s="715"/>
      <c r="AC150" s="173">
        <f>AA150*(X150/V150)</f>
        <v>5.025284663896155</v>
      </c>
      <c r="AD150" s="173">
        <f t="shared" ref="AD150:AF150" si="306">AC150*(Y150/X150)</f>
        <v>1.5460015767799213</v>
      </c>
      <c r="AE150" s="173">
        <f t="shared" si="306"/>
        <v>1.5486194370520925</v>
      </c>
      <c r="AF150" s="173">
        <f t="shared" si="306"/>
        <v>6.3818326165214065</v>
      </c>
      <c r="AG150" s="173"/>
      <c r="AH150" s="173">
        <f>AF150*(AC150/Z150)</f>
        <v>21.465137863768398</v>
      </c>
      <c r="AI150" s="173">
        <f t="shared" ref="AI150:AK150" si="307">AH150*(AD150/AC150)</f>
        <v>6.6036332671064164</v>
      </c>
      <c r="AJ150" s="173">
        <f t="shared" si="307"/>
        <v>6.6148152668155964</v>
      </c>
      <c r="AK150" s="173">
        <f t="shared" si="307"/>
        <v>27.259533757619693</v>
      </c>
      <c r="AL150" s="173"/>
      <c r="AM150" s="175">
        <f>AK150*(AH150/AF150)</f>
        <v>91.686774844981187</v>
      </c>
      <c r="AN150" s="175">
        <f t="shared" ref="AN150:AP150" si="308">AM150*(AI150/AH150)</f>
        <v>28.206939101099188</v>
      </c>
      <c r="AO150" s="175">
        <f t="shared" si="308"/>
        <v>28.254702199391829</v>
      </c>
      <c r="AP150" s="175">
        <f t="shared" si="308"/>
        <v>116.43711537640502</v>
      </c>
      <c r="AQ150" s="175"/>
      <c r="AR150" s="170"/>
      <c r="AS150" s="170"/>
      <c r="AT150" s="170"/>
      <c r="AU150" s="170"/>
      <c r="AV150" s="170"/>
      <c r="AW150" s="170"/>
      <c r="AX150" s="170"/>
      <c r="AY150" s="170"/>
      <c r="AZ150" s="170"/>
      <c r="BA150" s="170"/>
      <c r="BB150" s="170"/>
      <c r="BC150" s="170"/>
      <c r="BD150" s="170"/>
      <c r="BE150" s="170"/>
      <c r="BF150" s="170"/>
      <c r="BG150" s="170"/>
      <c r="BH150" s="170"/>
      <c r="BI150" s="170"/>
      <c r="BJ150" s="170"/>
      <c r="BK150" s="170"/>
      <c r="BL150" s="170"/>
      <c r="BM150" s="170"/>
      <c r="BN150" s="170"/>
    </row>
    <row r="151" spans="1:66" ht="15.75" customHeight="1" outlineLevel="1">
      <c r="A151" s="80"/>
      <c r="B151" s="81" t="s">
        <v>203</v>
      </c>
      <c r="C151" s="116"/>
      <c r="D151" s="88"/>
      <c r="E151" s="88"/>
      <c r="F151" s="88"/>
      <c r="G151" s="88"/>
      <c r="H151" s="489"/>
      <c r="I151" s="88"/>
      <c r="J151" s="33"/>
      <c r="K151" s="89"/>
      <c r="L151" s="88"/>
      <c r="M151" s="651"/>
      <c r="N151" s="88"/>
      <c r="O151" s="89"/>
      <c r="P151" s="88"/>
      <c r="Q151" s="89"/>
      <c r="R151" s="489"/>
      <c r="S151" s="88"/>
      <c r="T151" s="89"/>
      <c r="U151" s="88"/>
      <c r="V151" s="89"/>
      <c r="W151" s="489"/>
      <c r="X151" s="186">
        <f t="shared" ref="X151:AA151" si="309">X135/X150</f>
        <v>18.563255928392159</v>
      </c>
      <c r="Y151" s="186">
        <f t="shared" si="309"/>
        <v>60.339941905640138</v>
      </c>
      <c r="Z151" s="187">
        <f t="shared" si="309"/>
        <v>60.237940385472875</v>
      </c>
      <c r="AA151" s="188">
        <f t="shared" si="309"/>
        <v>14.617375749941939</v>
      </c>
      <c r="AB151" s="723"/>
      <c r="AC151" s="188">
        <f t="shared" ref="AC151:AQ151" si="310">AC135/AC150</f>
        <v>17.909433200192499</v>
      </c>
      <c r="AD151" s="188">
        <f t="shared" si="310"/>
        <v>58.214688362385679</v>
      </c>
      <c r="AE151" s="188">
        <f t="shared" si="310"/>
        <v>58.116279472328863</v>
      </c>
      <c r="AF151" s="188">
        <f t="shared" si="310"/>
        <v>14.10253220477866</v>
      </c>
      <c r="AG151" s="188" t="e">
        <f t="shared" si="310"/>
        <v>#DIV/0!</v>
      </c>
      <c r="AH151" s="188">
        <f t="shared" si="310"/>
        <v>4.1928451879134441</v>
      </c>
      <c r="AI151" s="188">
        <f t="shared" si="310"/>
        <v>13.628861016298721</v>
      </c>
      <c r="AJ151" s="188">
        <f t="shared" si="310"/>
        <v>13.605822138601678</v>
      </c>
      <c r="AK151" s="188">
        <f t="shared" si="310"/>
        <v>3.3015971879872246</v>
      </c>
      <c r="AL151" s="188" t="e">
        <f t="shared" si="310"/>
        <v>#DIV/0!</v>
      </c>
      <c r="AM151" s="188">
        <f t="shared" si="310"/>
        <v>0.98160285550633564</v>
      </c>
      <c r="AN151" s="188">
        <f t="shared" si="310"/>
        <v>3.1907042333598268</v>
      </c>
      <c r="AO151" s="188">
        <f t="shared" si="310"/>
        <v>3.1853105145074654</v>
      </c>
      <c r="AP151" s="188">
        <f t="shared" si="310"/>
        <v>0.77294941315797772</v>
      </c>
      <c r="AQ151" s="188" t="e">
        <f t="shared" si="310"/>
        <v>#DIV/0!</v>
      </c>
      <c r="AR151" s="80"/>
      <c r="AS151" s="80"/>
      <c r="AT151" s="80"/>
      <c r="AU151" s="80"/>
      <c r="AV151" s="80"/>
      <c r="AW151" s="80"/>
      <c r="AX151" s="80"/>
      <c r="AY151" s="80"/>
      <c r="AZ151" s="80"/>
      <c r="BA151" s="80"/>
      <c r="BB151" s="80"/>
      <c r="BC151" s="80"/>
      <c r="BD151" s="80"/>
      <c r="BE151" s="80"/>
      <c r="BF151" s="80"/>
      <c r="BG151" s="80"/>
      <c r="BH151" s="80"/>
      <c r="BI151" s="80"/>
      <c r="BJ151" s="80"/>
      <c r="BK151" s="80"/>
      <c r="BL151" s="80"/>
      <c r="BM151" s="80"/>
      <c r="BN151" s="80"/>
    </row>
    <row r="152" spans="1:66" ht="15.75" customHeight="1" outlineLevel="1">
      <c r="A152" s="80"/>
      <c r="B152" s="120" t="s">
        <v>204</v>
      </c>
      <c r="C152" s="121"/>
      <c r="D152" s="189" t="e">
        <f t="shared" ref="D152:Z152" si="311">D102/(D102+D110)</f>
        <v>#DIV/0!</v>
      </c>
      <c r="E152" s="189" t="e">
        <f t="shared" si="311"/>
        <v>#DIV/0!</v>
      </c>
      <c r="F152" s="189" t="e">
        <f t="shared" si="311"/>
        <v>#DIV/0!</v>
      </c>
      <c r="G152" s="189">
        <f t="shared" si="311"/>
        <v>0</v>
      </c>
      <c r="H152" s="718">
        <f t="shared" si="311"/>
        <v>0</v>
      </c>
      <c r="I152" s="189">
        <f t="shared" si="311"/>
        <v>5.2112184323896409E-2</v>
      </c>
      <c r="J152" s="189">
        <f t="shared" si="311"/>
        <v>1.4653930571781397E-2</v>
      </c>
      <c r="K152" s="189">
        <f t="shared" si="311"/>
        <v>7.3439854850383693E-2</v>
      </c>
      <c r="L152" s="189">
        <f t="shared" si="311"/>
        <v>0.10447846064846257</v>
      </c>
      <c r="M152" s="718">
        <f t="shared" si="311"/>
        <v>0.10447846064846257</v>
      </c>
      <c r="N152" s="189">
        <f t="shared" si="311"/>
        <v>0.15106076584314751</v>
      </c>
      <c r="O152" s="189">
        <f t="shared" si="311"/>
        <v>0.22218661271110293</v>
      </c>
      <c r="P152" s="189">
        <f t="shared" si="311"/>
        <v>0.23051365032886115</v>
      </c>
      <c r="Q152" s="189">
        <f t="shared" si="311"/>
        <v>0.31133363863660385</v>
      </c>
      <c r="R152" s="718">
        <f t="shared" si="311"/>
        <v>0.31133363863660385</v>
      </c>
      <c r="S152" s="189">
        <f t="shared" si="311"/>
        <v>0.3228903779350209</v>
      </c>
      <c r="T152" s="189">
        <f t="shared" si="311"/>
        <v>0.35048157350643366</v>
      </c>
      <c r="U152" s="189">
        <f t="shared" si="311"/>
        <v>0.38702306292177852</v>
      </c>
      <c r="V152" s="189">
        <f t="shared" si="311"/>
        <v>0.43002489409176753</v>
      </c>
      <c r="W152" s="718">
        <f t="shared" si="311"/>
        <v>0.43002489409176753</v>
      </c>
      <c r="X152" s="189">
        <f t="shared" si="311"/>
        <v>0.51219638624714658</v>
      </c>
      <c r="Y152" s="189">
        <f t="shared" si="311"/>
        <v>0.5487413755745022</v>
      </c>
      <c r="Z152" s="190">
        <f t="shared" si="311"/>
        <v>0.63636643951806071</v>
      </c>
      <c r="AA152" s="189">
        <f>AVERAGE(V152,X152:Z152)</f>
        <v>0.53183227385786924</v>
      </c>
      <c r="AB152" s="724">
        <f>AB102/(AB102+AB110)</f>
        <v>0.53183227385786924</v>
      </c>
      <c r="AC152" s="189">
        <f>AVERAGE(X152:AA152)</f>
        <v>0.55728411879939477</v>
      </c>
      <c r="AD152" s="189">
        <f>AVERAGE(AC152,Y152:AA152)</f>
        <v>0.56855605193745673</v>
      </c>
      <c r="AE152" s="189">
        <f>AVERAGE(Z152:AA152,AC152:AD152)</f>
        <v>0.57350972102819531</v>
      </c>
      <c r="AF152" s="189">
        <f>AVERAGE(AA152,AC152:AE152)</f>
        <v>0.55779554140572907</v>
      </c>
      <c r="AG152" s="189">
        <f>AG102/(AG102+AG110)</f>
        <v>0.55779554140572907</v>
      </c>
      <c r="AH152" s="189">
        <f>AVERAGE(AC152:AF152)</f>
        <v>0.56428635829269402</v>
      </c>
      <c r="AI152" s="189">
        <f>AVERAGE(AH152,AD152:AF152)</f>
        <v>0.56603691816601887</v>
      </c>
      <c r="AJ152" s="189">
        <f>AVERAGE(AE152:AF152,AH152:AI152)</f>
        <v>0.56540713472315929</v>
      </c>
      <c r="AK152" s="189">
        <f>AVERAGE(AF152,AH152:AJ152)</f>
        <v>0.56338148814690026</v>
      </c>
      <c r="AL152" s="189">
        <f>AL102/(AL102+AL110)</f>
        <v>0.56338148814690026</v>
      </c>
      <c r="AM152" s="189">
        <f>AVERAGE(AH152:AK152)</f>
        <v>0.56477797483219316</v>
      </c>
      <c r="AN152" s="189">
        <f>AVERAGE(AM152,AI152:AK152)</f>
        <v>0.56490087896706787</v>
      </c>
      <c r="AO152" s="189">
        <f>AVERAGE(AJ152:AK152,AM152:AN152)</f>
        <v>0.56461686916733012</v>
      </c>
      <c r="AP152" s="189">
        <f>AVERAGE(AK152,AM152:AO152)</f>
        <v>0.56441930277837282</v>
      </c>
      <c r="AQ152" s="189">
        <f>AQ102/(AQ102+AQ110)</f>
        <v>0.56441930277837282</v>
      </c>
      <c r="AR152" s="80"/>
      <c r="AS152" s="80"/>
      <c r="AT152" s="80"/>
      <c r="AU152" s="80"/>
      <c r="AV152" s="80"/>
      <c r="AW152" s="80"/>
      <c r="AX152" s="80"/>
      <c r="AY152" s="80"/>
      <c r="AZ152" s="80"/>
      <c r="BA152" s="80"/>
      <c r="BB152" s="80"/>
      <c r="BC152" s="80"/>
      <c r="BD152" s="80"/>
      <c r="BE152" s="80"/>
      <c r="BF152" s="80"/>
      <c r="BG152" s="80"/>
      <c r="BH152" s="80"/>
      <c r="BI152" s="80"/>
      <c r="BJ152" s="80"/>
      <c r="BK152" s="80"/>
      <c r="BL152" s="80"/>
      <c r="BM152" s="80"/>
      <c r="BN152" s="80"/>
    </row>
    <row r="153" spans="1:66" ht="15.75" customHeight="1" outlineLevel="1">
      <c r="A153" s="80"/>
      <c r="B153" s="93"/>
      <c r="C153" s="93"/>
      <c r="D153" s="89"/>
      <c r="E153" s="89"/>
      <c r="F153" s="89"/>
      <c r="G153" s="89"/>
      <c r="H153" s="89"/>
      <c r="I153" s="89"/>
      <c r="J153" s="4"/>
      <c r="K153" s="89"/>
      <c r="L153" s="89"/>
      <c r="M153" s="89"/>
      <c r="N153" s="89"/>
      <c r="O153" s="89"/>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0"/>
      <c r="AN153" s="80"/>
      <c r="AO153" s="80"/>
      <c r="AP153" s="80"/>
      <c r="AQ153" s="80"/>
      <c r="AR153" s="80"/>
      <c r="AS153" s="80"/>
      <c r="AT153" s="80"/>
      <c r="AU153" s="80"/>
      <c r="AV153" s="80"/>
      <c r="AW153" s="80"/>
      <c r="AX153" s="80"/>
      <c r="AY153" s="80"/>
      <c r="AZ153" s="80"/>
      <c r="BA153" s="80"/>
      <c r="BB153" s="80"/>
      <c r="BC153" s="80"/>
      <c r="BD153" s="80"/>
      <c r="BE153" s="80"/>
      <c r="BF153" s="80"/>
      <c r="BG153" s="80"/>
      <c r="BH153" s="80"/>
      <c r="BI153" s="80"/>
      <c r="BJ153" s="80"/>
      <c r="BK153" s="80"/>
      <c r="BL153" s="80"/>
      <c r="BM153" s="80"/>
      <c r="BN153" s="80"/>
    </row>
    <row r="154" spans="1:66" ht="15.75" customHeight="1" outlineLevel="1">
      <c r="A154" s="80"/>
      <c r="B154" s="93"/>
      <c r="C154" s="93"/>
      <c r="D154" s="89"/>
      <c r="E154" s="89"/>
      <c r="F154" s="89"/>
      <c r="G154" s="89"/>
      <c r="H154" s="89"/>
      <c r="I154" s="89"/>
      <c r="J154" s="4"/>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0"/>
      <c r="AN154" s="80"/>
      <c r="AO154" s="80"/>
      <c r="AP154" s="80"/>
      <c r="AQ154" s="80"/>
      <c r="AR154" s="80"/>
      <c r="AS154" s="80"/>
      <c r="AT154" s="80"/>
      <c r="AU154" s="80"/>
      <c r="AV154" s="80"/>
      <c r="AW154" s="80"/>
      <c r="AX154" s="80"/>
      <c r="AY154" s="80"/>
      <c r="AZ154" s="80"/>
      <c r="BA154" s="80"/>
      <c r="BB154" s="80"/>
      <c r="BC154" s="80"/>
      <c r="BD154" s="80"/>
      <c r="BE154" s="80"/>
      <c r="BF154" s="80"/>
      <c r="BG154" s="80"/>
      <c r="BH154" s="80"/>
      <c r="BI154" s="80"/>
      <c r="BJ154" s="80"/>
      <c r="BK154" s="80"/>
      <c r="BL154" s="80"/>
      <c r="BM154" s="80"/>
      <c r="BN154" s="80"/>
    </row>
    <row r="155" spans="1:66" ht="15.75" customHeight="1" outlineLevel="1">
      <c r="A155" s="80"/>
      <c r="B155" s="93"/>
      <c r="C155" s="93"/>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0"/>
      <c r="AN155" s="80"/>
      <c r="AO155" s="80"/>
      <c r="AP155" s="80"/>
      <c r="AQ155" s="80"/>
      <c r="AR155" s="80"/>
      <c r="AS155" s="80"/>
      <c r="AT155" s="80"/>
      <c r="AU155" s="80"/>
      <c r="AV155" s="80"/>
      <c r="AW155" s="80"/>
      <c r="AX155" s="80"/>
      <c r="AY155" s="80"/>
      <c r="AZ155" s="80"/>
      <c r="BA155" s="80"/>
      <c r="BB155" s="80"/>
      <c r="BC155" s="80"/>
      <c r="BD155" s="80"/>
      <c r="BE155" s="80"/>
      <c r="BF155" s="80"/>
      <c r="BG155" s="80"/>
      <c r="BH155" s="80"/>
      <c r="BI155" s="80"/>
      <c r="BJ155" s="80"/>
      <c r="BK155" s="80"/>
      <c r="BL155" s="80"/>
      <c r="BM155" s="80"/>
      <c r="BN155" s="80"/>
    </row>
    <row r="156" spans="1:66" ht="15.75" customHeight="1" outlineLevel="1">
      <c r="B156" s="638"/>
      <c r="C156" s="93"/>
      <c r="D156" s="2"/>
      <c r="E156" s="2"/>
      <c r="F156" s="3"/>
      <c r="G156" s="3"/>
      <c r="H156" s="89"/>
      <c r="I156" s="2"/>
      <c r="J156" s="4"/>
      <c r="K156" s="3"/>
      <c r="L156" s="3"/>
      <c r="M156" s="191"/>
      <c r="N156" s="191"/>
      <c r="O156" s="192"/>
      <c r="P156" s="192"/>
      <c r="Q156" s="192"/>
      <c r="R156" s="192"/>
      <c r="S156" s="192"/>
      <c r="T156" s="192"/>
      <c r="U156" s="3"/>
      <c r="V156" s="3"/>
      <c r="W156" s="3"/>
      <c r="X156" s="2"/>
      <c r="Y156" s="2"/>
      <c r="Z156" s="3"/>
      <c r="AA156" s="3"/>
      <c r="AB156" s="3"/>
      <c r="AC156" s="2"/>
      <c r="AD156" s="2"/>
      <c r="AE156" s="3"/>
      <c r="AF156" s="3"/>
      <c r="AG156" s="3"/>
      <c r="AH156" s="2"/>
      <c r="AI156" s="2"/>
      <c r="AJ156" s="3"/>
      <c r="AK156" s="3"/>
      <c r="AL156" s="3"/>
    </row>
    <row r="157" spans="1:66" ht="15.75" customHeight="1" outlineLevel="1">
      <c r="B157" s="739" t="s">
        <v>205</v>
      </c>
      <c r="C157" s="740"/>
      <c r="D157" s="521">
        <v>45920</v>
      </c>
      <c r="E157" s="521">
        <v>46011</v>
      </c>
      <c r="F157" s="521">
        <v>45737</v>
      </c>
      <c r="G157" s="521">
        <v>45829</v>
      </c>
      <c r="H157" s="521">
        <v>45829</v>
      </c>
      <c r="I157" s="521">
        <v>45921</v>
      </c>
      <c r="J157" s="521">
        <v>46012</v>
      </c>
      <c r="K157" s="521">
        <v>45738</v>
      </c>
      <c r="L157" s="521">
        <v>45830</v>
      </c>
      <c r="M157" s="521">
        <v>45830</v>
      </c>
      <c r="N157" s="521">
        <v>45922</v>
      </c>
      <c r="O157" s="521">
        <v>46013</v>
      </c>
      <c r="P157" s="521">
        <v>45739</v>
      </c>
      <c r="Q157" s="521">
        <v>45831</v>
      </c>
      <c r="R157" s="521">
        <v>45831</v>
      </c>
      <c r="S157" s="521">
        <v>45923</v>
      </c>
      <c r="T157" s="521">
        <v>46014</v>
      </c>
      <c r="U157" s="522">
        <v>45740</v>
      </c>
      <c r="V157" s="522">
        <v>45832</v>
      </c>
      <c r="W157" s="522">
        <v>45832</v>
      </c>
      <c r="X157" s="522">
        <v>45924</v>
      </c>
      <c r="Y157" s="522">
        <v>46015</v>
      </c>
      <c r="Z157" s="521">
        <v>45741</v>
      </c>
      <c r="AA157" s="475" t="s">
        <v>28</v>
      </c>
      <c r="AB157" s="475" t="s">
        <v>28</v>
      </c>
      <c r="AC157" s="476" t="s">
        <v>29</v>
      </c>
      <c r="AD157" s="476" t="s">
        <v>30</v>
      </c>
      <c r="AE157" s="476" t="s">
        <v>31</v>
      </c>
      <c r="AF157" s="476" t="s">
        <v>32</v>
      </c>
      <c r="AG157" s="476" t="s">
        <v>32</v>
      </c>
      <c r="AH157" s="476" t="s">
        <v>33</v>
      </c>
      <c r="AI157" s="476" t="s">
        <v>34</v>
      </c>
      <c r="AJ157" s="476" t="s">
        <v>35</v>
      </c>
      <c r="AK157" s="476" t="s">
        <v>36</v>
      </c>
      <c r="AL157" s="476" t="s">
        <v>36</v>
      </c>
      <c r="AM157" s="476" t="s">
        <v>37</v>
      </c>
      <c r="AN157" s="476" t="s">
        <v>38</v>
      </c>
      <c r="AO157" s="476" t="s">
        <v>39</v>
      </c>
      <c r="AP157" s="476" t="s">
        <v>40</v>
      </c>
      <c r="AQ157" s="476" t="s">
        <v>40</v>
      </c>
    </row>
    <row r="158" spans="1:66" ht="15.75" customHeight="1" outlineLevel="1">
      <c r="B158" s="523" t="s">
        <v>41</v>
      </c>
      <c r="C158" s="524"/>
      <c r="D158" s="525" t="s">
        <v>42</v>
      </c>
      <c r="E158" s="525" t="s">
        <v>43</v>
      </c>
      <c r="F158" s="525" t="s">
        <v>44</v>
      </c>
      <c r="G158" s="525" t="s">
        <v>45</v>
      </c>
      <c r="H158" s="526" t="s">
        <v>206</v>
      </c>
      <c r="I158" s="525" t="s">
        <v>47</v>
      </c>
      <c r="J158" s="527" t="s">
        <v>48</v>
      </c>
      <c r="K158" s="525" t="s">
        <v>49</v>
      </c>
      <c r="L158" s="525" t="s">
        <v>50</v>
      </c>
      <c r="M158" s="526" t="s">
        <v>207</v>
      </c>
      <c r="N158" s="525" t="s">
        <v>52</v>
      </c>
      <c r="O158" s="525" t="s">
        <v>53</v>
      </c>
      <c r="P158" s="525" t="s">
        <v>54</v>
      </c>
      <c r="Q158" s="525" t="s">
        <v>55</v>
      </c>
      <c r="R158" s="526" t="s">
        <v>208</v>
      </c>
      <c r="S158" s="525" t="s">
        <v>57</v>
      </c>
      <c r="T158" s="525" t="s">
        <v>58</v>
      </c>
      <c r="U158" s="528" t="s">
        <v>59</v>
      </c>
      <c r="V158" s="528" t="s">
        <v>60</v>
      </c>
      <c r="W158" s="528">
        <v>2024</v>
      </c>
      <c r="X158" s="528" t="s">
        <v>62</v>
      </c>
      <c r="Y158" s="528" t="s">
        <v>63</v>
      </c>
      <c r="Z158" s="529" t="s">
        <v>64</v>
      </c>
      <c r="AA158" s="477" t="s">
        <v>65</v>
      </c>
      <c r="AB158" s="479" t="s">
        <v>135</v>
      </c>
      <c r="AC158" s="479" t="s">
        <v>136</v>
      </c>
      <c r="AD158" s="479" t="s">
        <v>68</v>
      </c>
      <c r="AE158" s="479" t="s">
        <v>69</v>
      </c>
      <c r="AF158" s="479" t="s">
        <v>70</v>
      </c>
      <c r="AG158" s="479" t="s">
        <v>71</v>
      </c>
      <c r="AH158" s="479" t="s">
        <v>72</v>
      </c>
      <c r="AI158" s="479" t="s">
        <v>73</v>
      </c>
      <c r="AJ158" s="479" t="s">
        <v>74</v>
      </c>
      <c r="AK158" s="479" t="s">
        <v>75</v>
      </c>
      <c r="AL158" s="479" t="s">
        <v>76</v>
      </c>
      <c r="AM158" s="479" t="s">
        <v>77</v>
      </c>
      <c r="AN158" s="479" t="s">
        <v>78</v>
      </c>
      <c r="AO158" s="479" t="s">
        <v>79</v>
      </c>
      <c r="AP158" s="479" t="s">
        <v>80</v>
      </c>
      <c r="AQ158" s="480" t="s">
        <v>81</v>
      </c>
    </row>
    <row r="159" spans="1:66" ht="15.75" customHeight="1" outlineLevel="1">
      <c r="B159" s="741" t="s">
        <v>209</v>
      </c>
      <c r="C159" s="742"/>
      <c r="D159" s="871"/>
      <c r="E159" s="872"/>
      <c r="F159" s="871"/>
      <c r="G159" s="872"/>
      <c r="H159" s="886"/>
      <c r="I159" s="872"/>
      <c r="J159" s="871"/>
      <c r="K159" s="872"/>
      <c r="L159" s="871"/>
      <c r="M159" s="901"/>
      <c r="N159" s="872"/>
      <c r="O159" s="871"/>
      <c r="P159" s="872"/>
      <c r="Q159" s="871"/>
      <c r="R159" s="901"/>
      <c r="S159" s="519"/>
      <c r="T159" s="519"/>
      <c r="U159" s="520"/>
      <c r="V159" s="520"/>
      <c r="W159" s="912"/>
      <c r="X159" s="520"/>
      <c r="Y159" s="520"/>
      <c r="Z159" s="520"/>
      <c r="AA159" s="194"/>
      <c r="AB159" s="657"/>
      <c r="AC159" s="33"/>
      <c r="AD159" s="33"/>
      <c r="AE159" s="33"/>
      <c r="AF159" s="33"/>
      <c r="AG159" s="657"/>
      <c r="AH159" s="33"/>
      <c r="AI159" s="33"/>
      <c r="AJ159" s="33"/>
      <c r="AK159" s="934"/>
      <c r="AL159" s="657"/>
      <c r="AM159" s="68"/>
      <c r="AN159" s="68"/>
      <c r="AO159" s="68"/>
      <c r="AP159" s="68"/>
      <c r="AQ159" s="932"/>
    </row>
    <row r="160" spans="1:66" ht="15.75" customHeight="1" outlineLevel="1">
      <c r="B160" s="731" t="s">
        <v>210</v>
      </c>
      <c r="C160" s="732"/>
      <c r="D160" s="196">
        <v>3728.298335</v>
      </c>
      <c r="E160" s="197">
        <f>7288.625628-D160</f>
        <v>3560.3272929999998</v>
      </c>
      <c r="F160" s="873">
        <f>10800.586228-SUM(D160:E160 )</f>
        <v>3511.9606000000003</v>
      </c>
      <c r="G160" s="874">
        <f>H160-SUM(D160:F160)</f>
        <v>3855.6527869999991</v>
      </c>
      <c r="H160" s="887">
        <v>14656.239014999999</v>
      </c>
      <c r="I160" s="197">
        <v>4575.8886309999998</v>
      </c>
      <c r="J160" s="196">
        <f>8686.225378-I160</f>
        <v>4110.3367469999994</v>
      </c>
      <c r="K160" s="197">
        <f>12754.382515-SUM(I160:J160)</f>
        <v>4068.1571370000001</v>
      </c>
      <c r="L160" s="873">
        <f>M160-SUM(I160:K160)</f>
        <v>5422.3570369999998</v>
      </c>
      <c r="M160" s="888">
        <v>18176.739551999999</v>
      </c>
      <c r="N160" s="197">
        <v>5500.293181</v>
      </c>
      <c r="O160" s="196">
        <f>10626.444025-N160</f>
        <v>5126.1508440000007</v>
      </c>
      <c r="P160" s="197">
        <f>14909.316424-SUM(N160:O160)</f>
        <v>4282.8723989999999</v>
      </c>
      <c r="Q160" s="873">
        <f>R160-SUM(N160:P160)</f>
        <v>4070.8244720000002</v>
      </c>
      <c r="R160" s="888">
        <v>18980.140896000001</v>
      </c>
      <c r="S160" s="197">
        <v>6000.7142459999995</v>
      </c>
      <c r="T160" s="197">
        <f>11245.960629-S160</f>
        <v>5245.2463829999997</v>
      </c>
      <c r="U160" s="197">
        <f>16169.557021-SUM(S160:T160)</f>
        <v>4923.5963920000013</v>
      </c>
      <c r="V160" s="137">
        <f>W160-SUM(S160:U160)</f>
        <v>4757.8888999999981</v>
      </c>
      <c r="W160" s="913">
        <f t="shared" ref="W160:AQ160" si="312">W39</f>
        <v>20927.445920999999</v>
      </c>
      <c r="X160" s="137">
        <f t="shared" si="312"/>
        <v>6092.6502710000022</v>
      </c>
      <c r="Y160" s="137">
        <f t="shared" si="312"/>
        <v>6603.7527869999994</v>
      </c>
      <c r="Z160" s="137">
        <f t="shared" si="312"/>
        <v>6051.6147249999995</v>
      </c>
      <c r="AA160" s="137">
        <f t="shared" si="312"/>
        <v>6589.8390481064562</v>
      </c>
      <c r="AB160" s="913">
        <f t="shared" si="312"/>
        <v>25337.856831106452</v>
      </c>
      <c r="AC160" s="137">
        <f t="shared" si="312"/>
        <v>7874.3332973060869</v>
      </c>
      <c r="AD160" s="137">
        <f t="shared" si="312"/>
        <v>7658.0094068711714</v>
      </c>
      <c r="AE160" s="137">
        <f t="shared" si="312"/>
        <v>7382.2373106325958</v>
      </c>
      <c r="AF160" s="137">
        <f t="shared" si="312"/>
        <v>6447.0962874523702</v>
      </c>
      <c r="AG160" s="913">
        <f t="shared" si="312"/>
        <v>29361.676302262225</v>
      </c>
      <c r="AH160" s="137">
        <f t="shared" si="312"/>
        <v>8375.6867826114176</v>
      </c>
      <c r="AI160" s="137">
        <f t="shared" si="312"/>
        <v>8227.9556770906274</v>
      </c>
      <c r="AJ160" s="137">
        <f t="shared" si="312"/>
        <v>8167.9746020475222</v>
      </c>
      <c r="AK160" s="935">
        <f t="shared" si="312"/>
        <v>6974.6263048112351</v>
      </c>
      <c r="AL160" s="913">
        <f t="shared" si="312"/>
        <v>31746.243366560793</v>
      </c>
      <c r="AM160" s="137">
        <f t="shared" si="312"/>
        <v>9200.4271756773433</v>
      </c>
      <c r="AN160" s="137">
        <f t="shared" si="312"/>
        <v>8972.6331452959603</v>
      </c>
      <c r="AO160" s="137">
        <f t="shared" si="312"/>
        <v>9078.4997855846868</v>
      </c>
      <c r="AP160" s="137">
        <f t="shared" si="312"/>
        <v>7590.2688523297884</v>
      </c>
      <c r="AQ160" s="913">
        <f t="shared" si="312"/>
        <v>34841.828958887767</v>
      </c>
    </row>
    <row r="161" spans="2:43" ht="15.75" customHeight="1" outlineLevel="1">
      <c r="B161" s="731" t="s">
        <v>211</v>
      </c>
      <c r="C161" s="732"/>
      <c r="D161" s="873"/>
      <c r="E161" s="874"/>
      <c r="F161" s="873"/>
      <c r="G161" s="874"/>
      <c r="H161" s="887"/>
      <c r="I161" s="874"/>
      <c r="J161" s="873"/>
      <c r="K161" s="210"/>
      <c r="L161" s="873"/>
      <c r="M161" s="887"/>
      <c r="N161" s="874"/>
      <c r="O161" s="873"/>
      <c r="P161" s="874"/>
      <c r="Q161" s="873"/>
      <c r="R161" s="887"/>
      <c r="S161" s="199"/>
      <c r="T161" s="199"/>
      <c r="U161" s="199"/>
      <c r="V161" s="137"/>
      <c r="W161" s="914"/>
      <c r="X161" s="199"/>
      <c r="Y161" s="199"/>
      <c r="Z161" s="199"/>
      <c r="AA161" s="199" t="s">
        <v>84</v>
      </c>
      <c r="AB161" s="922" t="s">
        <v>84</v>
      </c>
      <c r="AC161" s="199" t="s">
        <v>84</v>
      </c>
      <c r="AD161" s="198" t="s">
        <v>84</v>
      </c>
      <c r="AE161" s="199" t="s">
        <v>84</v>
      </c>
      <c r="AF161" s="198" t="s">
        <v>84</v>
      </c>
      <c r="AG161" s="922" t="s">
        <v>84</v>
      </c>
      <c r="AH161" s="198" t="s">
        <v>84</v>
      </c>
      <c r="AI161" s="198" t="s">
        <v>84</v>
      </c>
      <c r="AJ161" s="199" t="s">
        <v>84</v>
      </c>
      <c r="AK161" s="936" t="s">
        <v>84</v>
      </c>
      <c r="AL161" s="922" t="s">
        <v>84</v>
      </c>
      <c r="AM161" s="198" t="s">
        <v>84</v>
      </c>
      <c r="AN161" s="199" t="s">
        <v>84</v>
      </c>
      <c r="AO161" s="198" t="s">
        <v>84</v>
      </c>
      <c r="AP161" s="199" t="s">
        <v>84</v>
      </c>
      <c r="AQ161" s="922" t="s">
        <v>84</v>
      </c>
    </row>
    <row r="162" spans="2:43" ht="15.75" customHeight="1" outlineLevel="1">
      <c r="B162" s="195" t="s">
        <v>212</v>
      </c>
      <c r="C162" s="201"/>
      <c r="D162" s="196">
        <v>449.93230599999998</v>
      </c>
      <c r="E162" s="197">
        <f>912.112184-D162</f>
        <v>462.17987799999997</v>
      </c>
      <c r="F162" s="196">
        <f>1386.947029-SUM(D162:E162)</f>
        <v>474.83484499999997</v>
      </c>
      <c r="G162" s="874">
        <f>H162-SUM(D162:F162)</f>
        <v>495.54394200000002</v>
      </c>
      <c r="H162" s="888">
        <v>1882.4909709999999</v>
      </c>
      <c r="I162" s="197">
        <v>442.431017</v>
      </c>
      <c r="J162" s="196">
        <f>899.793995-I162</f>
        <v>457.362978</v>
      </c>
      <c r="K162" s="197">
        <f>1364.763102-SUM(I162:J162)</f>
        <v>464.96910699999989</v>
      </c>
      <c r="L162" s="873">
        <f t="shared" ref="L162:L163" si="313">M162-SUM(I162:K162)</f>
        <v>470.41065800000001</v>
      </c>
      <c r="M162" s="888">
        <v>1835.1737599999999</v>
      </c>
      <c r="N162" s="197">
        <v>450.64362699999998</v>
      </c>
      <c r="O162" s="196">
        <f>1075.840187-N162</f>
        <v>625.19656000000009</v>
      </c>
      <c r="P162" s="197">
        <f>1667.5593-SUM(N162:O162)</f>
        <v>591.71911299999988</v>
      </c>
      <c r="Q162" s="873">
        <f t="shared" ref="Q162:Q163" si="314">R162-SUM(N162:P162)</f>
        <v>642.340146</v>
      </c>
      <c r="R162" s="888">
        <v>2309.8994459999999</v>
      </c>
      <c r="S162" s="197">
        <v>568.71368700000005</v>
      </c>
      <c r="T162" s="197">
        <f>1141.70899-S162</f>
        <v>572.99530300000004</v>
      </c>
      <c r="U162" s="202">
        <f>1737.484766-SUM(S162:T162)</f>
        <v>595.77577599999995</v>
      </c>
      <c r="V162" s="137">
        <f t="shared" ref="V162:V163" si="315">W162-SUM(S162:U162)</f>
        <v>581.16861800000015</v>
      </c>
      <c r="W162" s="915">
        <v>2318.6533840000002</v>
      </c>
      <c r="X162" s="203">
        <v>528.90016200000002</v>
      </c>
      <c r="Y162" s="203">
        <f>1069.944207-X162</f>
        <v>541.04404499999998</v>
      </c>
      <c r="Z162" s="203">
        <f>1625.981341-SUM(X162:Y162)</f>
        <v>556.03713399999992</v>
      </c>
      <c r="AA162" s="204">
        <f>AA146*Z91</f>
        <v>573.80603796955131</v>
      </c>
      <c r="AB162" s="707">
        <f t="shared" ref="AB162:AB163" si="316">SUM(X162:AA162)</f>
        <v>2199.7873789695514</v>
      </c>
      <c r="AC162" s="204">
        <f t="shared" ref="AC162:AF162" si="317">AC146*AB91</f>
        <v>583.17153693089301</v>
      </c>
      <c r="AD162" s="205">
        <f t="shared" si="317"/>
        <v>598.82610946340981</v>
      </c>
      <c r="AE162" s="204">
        <f t="shared" si="317"/>
        <v>599.00640680177048</v>
      </c>
      <c r="AF162" s="205">
        <f t="shared" si="317"/>
        <v>617.86102113638105</v>
      </c>
      <c r="AG162" s="929">
        <f t="shared" ref="AG162:AG163" si="318">SUM(AC162:AF162)</f>
        <v>2398.8650743324542</v>
      </c>
      <c r="AH162" s="205">
        <f t="shared" ref="AH162:AK162" si="319">AH146*AG91</f>
        <v>617.91076550888272</v>
      </c>
      <c r="AI162" s="205">
        <f t="shared" si="319"/>
        <v>637.61304207009903</v>
      </c>
      <c r="AJ162" s="204">
        <f t="shared" si="319"/>
        <v>638.27812094950525</v>
      </c>
      <c r="AK162" s="937">
        <f t="shared" si="319"/>
        <v>659.40501448063878</v>
      </c>
      <c r="AL162" s="929">
        <f t="shared" ref="AL162:AL163" si="320">SUM(AH162:AK162)</f>
        <v>2553.2069430091256</v>
      </c>
      <c r="AM162" s="205">
        <f t="shared" ref="AM162:AP162" si="321">AM146*AL91</f>
        <v>660.6605423871589</v>
      </c>
      <c r="AN162" s="204">
        <f t="shared" si="321"/>
        <v>684.40616156501551</v>
      </c>
      <c r="AO162" s="205">
        <f t="shared" si="321"/>
        <v>685.27817933336121</v>
      </c>
      <c r="AP162" s="204">
        <f t="shared" si="321"/>
        <v>710.40886837701441</v>
      </c>
      <c r="AQ162" s="672">
        <f t="shared" ref="AQ162:AQ163" si="322">SUM(AM162:AP162)</f>
        <v>2740.7537516625498</v>
      </c>
    </row>
    <row r="163" spans="2:43" ht="15.75" customHeight="1" outlineLevel="1">
      <c r="B163" s="195" t="s">
        <v>213</v>
      </c>
      <c r="C163" s="207"/>
      <c r="D163" s="875"/>
      <c r="E163" s="876"/>
      <c r="F163" s="196"/>
      <c r="G163" s="874"/>
      <c r="H163" s="887"/>
      <c r="I163" s="874"/>
      <c r="J163" s="875"/>
      <c r="K163" s="876"/>
      <c r="L163" s="873">
        <f t="shared" si="313"/>
        <v>9.2831259999999993</v>
      </c>
      <c r="M163" s="888">
        <v>9.2831259999999993</v>
      </c>
      <c r="N163" s="197">
        <v>54.039766</v>
      </c>
      <c r="O163" s="196">
        <f>82.250327-N163</f>
        <v>28.210560999999998</v>
      </c>
      <c r="P163" s="197">
        <f>17.323737-SUM(N163:O163)</f>
        <v>-64.926590000000004</v>
      </c>
      <c r="Q163" s="873">
        <f t="shared" si="314"/>
        <v>-43.227353999999991</v>
      </c>
      <c r="R163" s="888">
        <v>-25.903617000000001</v>
      </c>
      <c r="S163" s="197">
        <v>-26.065159000000001</v>
      </c>
      <c r="T163" s="197">
        <f>-62.349088-S163</f>
        <v>-36.283929000000001</v>
      </c>
      <c r="U163" s="197">
        <f>58.137563-SUM(S163:T163)</f>
        <v>120.48665099999999</v>
      </c>
      <c r="V163" s="137">
        <f t="shared" si="315"/>
        <v>56.674000000000014</v>
      </c>
      <c r="W163" s="888">
        <v>114.81156300000001</v>
      </c>
      <c r="X163" s="197">
        <v>26.815963</v>
      </c>
      <c r="Y163" s="209">
        <f>26.700706-X163</f>
        <v>-0.11525699999999972</v>
      </c>
      <c r="Z163" s="196">
        <f>33.585544-SUM(X163:Y163)</f>
        <v>6.8848379999999985</v>
      </c>
      <c r="AA163" s="194">
        <f>AA122-Z122</f>
        <v>3.571864941931608</v>
      </c>
      <c r="AB163" s="923">
        <f t="shared" si="316"/>
        <v>37.157408941931607</v>
      </c>
      <c r="AC163" s="194">
        <f>AC122-Z122</f>
        <v>7.2407567886042727</v>
      </c>
      <c r="AD163" s="33">
        <f t="shared" ref="AD163:AF163" si="323">AD122-AC122</f>
        <v>3.7685544110472051</v>
      </c>
      <c r="AE163" s="194">
        <f t="shared" si="323"/>
        <v>3.8709242306782983</v>
      </c>
      <c r="AF163" s="33">
        <f t="shared" si="323"/>
        <v>3.9760748460279274</v>
      </c>
      <c r="AG163" s="923">
        <f t="shared" si="318"/>
        <v>18.856310276357704</v>
      </c>
      <c r="AH163" s="33">
        <f>AH122-AF122</f>
        <v>4.0840817952269219</v>
      </c>
      <c r="AI163" s="33">
        <f t="shared" ref="AI163:AK163" si="324">AI122-AH122</f>
        <v>4.1950226683400729</v>
      </c>
      <c r="AJ163" s="194">
        <f t="shared" si="324"/>
        <v>4.3089771631053395</v>
      </c>
      <c r="AK163" s="934">
        <f t="shared" si="324"/>
        <v>4.4260271421871096</v>
      </c>
      <c r="AL163" s="923">
        <f t="shared" si="320"/>
        <v>17.014108768859444</v>
      </c>
      <c r="AM163" s="33">
        <f>AM122-AK122</f>
        <v>4.5462566919847518</v>
      </c>
      <c r="AN163" s="194">
        <f t="shared" ref="AN163:AP163" si="325">AN122-AM122</f>
        <v>4.6697521830385256</v>
      </c>
      <c r="AO163" s="33">
        <f t="shared" si="325"/>
        <v>4.7966023320766169</v>
      </c>
      <c r="AP163" s="194">
        <f t="shared" si="325"/>
        <v>4.926898265747468</v>
      </c>
      <c r="AQ163" s="657">
        <f t="shared" si="322"/>
        <v>18.939509472847362</v>
      </c>
    </row>
    <row r="164" spans="2:43" ht="15.75" customHeight="1" outlineLevel="1">
      <c r="B164" s="731" t="s">
        <v>214</v>
      </c>
      <c r="C164" s="732"/>
      <c r="D164" s="873"/>
      <c r="E164" s="874"/>
      <c r="F164" s="873"/>
      <c r="G164" s="874"/>
      <c r="H164" s="887"/>
      <c r="I164" s="874"/>
      <c r="J164" s="873"/>
      <c r="K164" s="874"/>
      <c r="L164" s="873"/>
      <c r="M164" s="887"/>
      <c r="N164" s="874" t="s">
        <v>84</v>
      </c>
      <c r="O164" s="873"/>
      <c r="P164" s="874"/>
      <c r="Q164" s="873"/>
      <c r="R164" s="887"/>
      <c r="S164" s="199"/>
      <c r="T164" s="199"/>
      <c r="U164" s="199"/>
      <c r="V164" s="137"/>
      <c r="W164" s="914"/>
      <c r="X164" s="199"/>
      <c r="Y164" s="199"/>
      <c r="Z164" s="199"/>
      <c r="AA164" s="199" t="s">
        <v>84</v>
      </c>
      <c r="AB164" s="922" t="s">
        <v>84</v>
      </c>
      <c r="AC164" s="199" t="s">
        <v>84</v>
      </c>
      <c r="AD164" s="198" t="s">
        <v>84</v>
      </c>
      <c r="AE164" s="199" t="s">
        <v>84</v>
      </c>
      <c r="AF164" s="198" t="s">
        <v>84</v>
      </c>
      <c r="AG164" s="922" t="s">
        <v>84</v>
      </c>
      <c r="AH164" s="198" t="s">
        <v>84</v>
      </c>
      <c r="AI164" s="198" t="s">
        <v>84</v>
      </c>
      <c r="AJ164" s="199" t="s">
        <v>84</v>
      </c>
      <c r="AK164" s="936" t="s">
        <v>84</v>
      </c>
      <c r="AL164" s="922" t="s">
        <v>84</v>
      </c>
      <c r="AM164" s="198" t="s">
        <v>84</v>
      </c>
      <c r="AN164" s="199" t="s">
        <v>84</v>
      </c>
      <c r="AO164" s="198" t="s">
        <v>84</v>
      </c>
      <c r="AP164" s="199" t="s">
        <v>84</v>
      </c>
      <c r="AQ164" s="914" t="s">
        <v>84</v>
      </c>
    </row>
    <row r="165" spans="2:43" ht="15.75" customHeight="1" outlineLevel="1">
      <c r="B165" s="731" t="s">
        <v>215</v>
      </c>
      <c r="C165" s="732"/>
      <c r="D165" s="196">
        <v>-15.417306</v>
      </c>
      <c r="E165" s="197">
        <f>-15.166628-D165</f>
        <v>0.25067800000000062</v>
      </c>
      <c r="F165" s="873">
        <f>51.622046-SUM(D165:E165 )</f>
        <v>66.788674</v>
      </c>
      <c r="G165" s="874">
        <f>H165-SUM(D165:F165)</f>
        <v>-226.43606</v>
      </c>
      <c r="H165" s="887">
        <v>-174.81401399999999</v>
      </c>
      <c r="I165" s="197">
        <v>-9.2759820000000008</v>
      </c>
      <c r="J165" s="196">
        <f>-27.690182-I165</f>
        <v>-18.414200000000001</v>
      </c>
      <c r="K165" s="197">
        <f>-31.102145-SUM(I165:J165)</f>
        <v>-3.4119630000000001</v>
      </c>
      <c r="L165" s="873">
        <f t="shared" ref="L165:L167" si="326">M165-SUM(I165:K165)</f>
        <v>19.615791000000002</v>
      </c>
      <c r="M165" s="888">
        <v>-11.486354</v>
      </c>
      <c r="N165" s="197">
        <v>-21.152968999999999</v>
      </c>
      <c r="O165" s="196">
        <f>-12.786464-N165</f>
        <v>8.3665049999999983</v>
      </c>
      <c r="P165" s="197">
        <f>-8.932221-SUM(N165:O165)</f>
        <v>3.8542430000000003</v>
      </c>
      <c r="Q165" s="873">
        <f t="shared" ref="Q165:Q167" si="327">R165-SUM(N165:P165)</f>
        <v>-136.975573</v>
      </c>
      <c r="R165" s="888">
        <v>-145.907794</v>
      </c>
      <c r="S165" s="197">
        <v>-44.874357000000003</v>
      </c>
      <c r="T165" s="197">
        <f>82.124872-S165</f>
        <v>126.999229</v>
      </c>
      <c r="U165" s="197">
        <f>-264.374267-SUM(S165:T165)</f>
        <v>-346.49913899999996</v>
      </c>
      <c r="V165" s="137">
        <f t="shared" ref="V165:V167" si="328">W165-SUM(S165:U165)</f>
        <v>-8.5491530000000466</v>
      </c>
      <c r="W165" s="888">
        <v>-272.92342000000002</v>
      </c>
      <c r="X165" s="197">
        <v>-39.459091999999998</v>
      </c>
      <c r="Y165" s="209">
        <f>-68.899866-X165</f>
        <v>-29.440774000000005</v>
      </c>
      <c r="Z165" s="196">
        <f>-91.159977-SUM(X165:Y165)</f>
        <v>-22.260110999999995</v>
      </c>
      <c r="AA165" s="194">
        <f>-(AA111-Z111)</f>
        <v>-156.20324326019244</v>
      </c>
      <c r="AB165" s="657">
        <f t="shared" ref="AB165:AB167" si="329">SUM(X165:AA165)</f>
        <v>-247.36322026019243</v>
      </c>
      <c r="AC165" s="33">
        <f>-(AC111-AA111)</f>
        <v>-36.679103853589254</v>
      </c>
      <c r="AD165" s="33">
        <f t="shared" ref="AD165:AF165" si="330">-(AD111-AC111)</f>
        <v>27.137859001508218</v>
      </c>
      <c r="AE165" s="33">
        <f t="shared" si="330"/>
        <v>-90.642073478335078</v>
      </c>
      <c r="AF165" s="33">
        <f t="shared" si="330"/>
        <v>-152.95188143795053</v>
      </c>
      <c r="AG165" s="657">
        <f t="shared" ref="AG165:AG166" si="331">SUM(AC165:AF165)</f>
        <v>-253.13519976836665</v>
      </c>
      <c r="AH165" s="33">
        <f t="shared" ref="AH165:AK165" si="332">-(AH111-AG111)</f>
        <v>-39.161868686779485</v>
      </c>
      <c r="AI165" s="33">
        <f t="shared" si="332"/>
        <v>29.541686129286745</v>
      </c>
      <c r="AJ165" s="33">
        <f t="shared" si="332"/>
        <v>-119.96621312469813</v>
      </c>
      <c r="AK165" s="934">
        <f t="shared" si="332"/>
        <v>-167.4343666922598</v>
      </c>
      <c r="AL165" s="657">
        <f>SUM(AH165:AK165)</f>
        <v>-297.02076237445067</v>
      </c>
      <c r="AM165" s="65">
        <f t="shared" ref="AM165:AP165" si="333">-(AM111-AL111)</f>
        <v>-50.286738904073218</v>
      </c>
      <c r="AN165" s="65">
        <f t="shared" si="333"/>
        <v>32.534431248106102</v>
      </c>
      <c r="AO165" s="65">
        <f t="shared" si="333"/>
        <v>-246.71937311443207</v>
      </c>
      <c r="AP165" s="65">
        <f t="shared" si="333"/>
        <v>-184.24444126165031</v>
      </c>
      <c r="AQ165" s="671">
        <f>SUM(AM165:AP165)</f>
        <v>-448.7161220320495</v>
      </c>
    </row>
    <row r="166" spans="2:43" ht="15.75" customHeight="1" outlineLevel="1">
      <c r="B166" s="731" t="s">
        <v>106</v>
      </c>
      <c r="C166" s="732"/>
      <c r="D166" s="873"/>
      <c r="E166" s="874"/>
      <c r="F166" s="873"/>
      <c r="G166" s="874"/>
      <c r="H166" s="887"/>
      <c r="I166" s="874"/>
      <c r="J166" s="873"/>
      <c r="K166" s="874"/>
      <c r="L166" s="873">
        <f t="shared" si="326"/>
        <v>-2010.8075879999999</v>
      </c>
      <c r="M166" s="888">
        <v>-2010.8075879999999</v>
      </c>
      <c r="N166" s="197">
        <v>-494.70410399999997</v>
      </c>
      <c r="O166" s="196">
        <f>-1010.820682-N166</f>
        <v>-516.11657800000012</v>
      </c>
      <c r="P166" s="197">
        <f>-1460.4775-SUM(N166:O166)</f>
        <v>-449.65681799999993</v>
      </c>
      <c r="Q166" s="873">
        <f t="shared" si="327"/>
        <v>-1062.036619</v>
      </c>
      <c r="R166" s="888">
        <v>-2522.5141189999999</v>
      </c>
      <c r="S166" s="197">
        <v>-360.05978499999998</v>
      </c>
      <c r="T166" s="197">
        <f>-1012.618795-S166</f>
        <v>-652.55900999999994</v>
      </c>
      <c r="U166" s="197">
        <f>-1521.599111-SUM(S166:T166)</f>
        <v>-508.98031600000013</v>
      </c>
      <c r="V166" s="137">
        <f t="shared" si="328"/>
        <v>-1050.0579250000001</v>
      </c>
      <c r="W166" s="913">
        <f>-(2571.657036)</f>
        <v>-2571.6570360000001</v>
      </c>
      <c r="X166" s="137">
        <f>-X38</f>
        <v>-568.96221400000002</v>
      </c>
      <c r="Y166" s="209">
        <f>-1666.822114-X166</f>
        <v>-1097.8598999999999</v>
      </c>
      <c r="Z166" s="137">
        <f>-2377.552238-SUM(X166:Y166)</f>
        <v>-710.73012400000016</v>
      </c>
      <c r="AA166" s="137">
        <f>-AA38</f>
        <v>-862.64393675000008</v>
      </c>
      <c r="AB166" s="913">
        <f t="shared" si="329"/>
        <v>-3240.1961747500004</v>
      </c>
      <c r="AC166" s="137">
        <f t="shared" ref="AC166:AF166" si="334">-AC38</f>
        <v>-810.0490436875001</v>
      </c>
      <c r="AD166" s="137">
        <f t="shared" si="334"/>
        <v>-870.32075110937512</v>
      </c>
      <c r="AE166" s="137">
        <f t="shared" si="334"/>
        <v>-813.43596388671881</v>
      </c>
      <c r="AF166" s="137">
        <f t="shared" si="334"/>
        <v>-839.11242385839864</v>
      </c>
      <c r="AG166" s="913">
        <f t="shared" si="331"/>
        <v>-3332.9181825419928</v>
      </c>
      <c r="AH166" s="137">
        <f t="shared" ref="AH166:AQ166" si="335">-AH38</f>
        <v>-833.2295456354982</v>
      </c>
      <c r="AI166" s="137">
        <f t="shared" si="335"/>
        <v>-839.02467112249769</v>
      </c>
      <c r="AJ166" s="137">
        <f t="shared" si="335"/>
        <v>-831.20065112577834</v>
      </c>
      <c r="AK166" s="935">
        <f t="shared" si="335"/>
        <v>-835.64182293554325</v>
      </c>
      <c r="AL166" s="913">
        <f t="shared" si="335"/>
        <v>-3339.0966908193172</v>
      </c>
      <c r="AM166" s="137">
        <f t="shared" si="335"/>
        <v>-834.77417270482931</v>
      </c>
      <c r="AN166" s="137">
        <f t="shared" si="335"/>
        <v>-835.16032947216206</v>
      </c>
      <c r="AO166" s="137">
        <f t="shared" si="335"/>
        <v>-834.1942440595783</v>
      </c>
      <c r="AP166" s="137">
        <f t="shared" si="335"/>
        <v>-834.94264229302826</v>
      </c>
      <c r="AQ166" s="913">
        <f t="shared" si="335"/>
        <v>-3339.0713885295982</v>
      </c>
    </row>
    <row r="167" spans="2:43" ht="15.75" customHeight="1" outlineLevel="1">
      <c r="B167" s="731" t="s">
        <v>216</v>
      </c>
      <c r="C167" s="732"/>
      <c r="D167" s="196">
        <v>7.7596959999999999</v>
      </c>
      <c r="E167" s="197">
        <f>6.754943-D167</f>
        <v>-1.004753</v>
      </c>
      <c r="F167" s="196">
        <f>-8.797404-SUM(D167:E167)</f>
        <v>-15.552347000000001</v>
      </c>
      <c r="G167" s="874">
        <f>H167-SUM(D167:F167)</f>
        <v>-26.817489999999999</v>
      </c>
      <c r="H167" s="888">
        <v>-35.614894</v>
      </c>
      <c r="I167" s="210">
        <v>-16.359221999999999</v>
      </c>
      <c r="J167" s="196">
        <f>-14.357306-I167</f>
        <v>2.0019159999999996</v>
      </c>
      <c r="K167" s="197">
        <f>-72.440634-SUM(I167:J167)</f>
        <v>-58.083328000000002</v>
      </c>
      <c r="L167" s="873">
        <f t="shared" si="326"/>
        <v>-394.21489400000002</v>
      </c>
      <c r="M167" s="888">
        <v>-466.655528</v>
      </c>
      <c r="N167" s="197">
        <v>-414.87510099999997</v>
      </c>
      <c r="O167" s="196">
        <f>-505.715969-N167</f>
        <v>-90.840868</v>
      </c>
      <c r="P167" s="197">
        <f>-593.106506-SUM(N167:O167)</f>
        <v>-87.390536999999995</v>
      </c>
      <c r="Q167" s="873">
        <f t="shared" si="327"/>
        <v>68.393942999999922</v>
      </c>
      <c r="R167" s="888">
        <v>-524.71256300000005</v>
      </c>
      <c r="S167" s="197">
        <v>-53.736579999999996</v>
      </c>
      <c r="T167" s="197">
        <f>0.226201-S167</f>
        <v>53.962781</v>
      </c>
      <c r="U167" s="197">
        <f>-125.692757-SUM(S167:T167)</f>
        <v>-125.918958</v>
      </c>
      <c r="V167" s="137">
        <f t="shared" si="328"/>
        <v>-335.64342499999998</v>
      </c>
      <c r="W167" s="681">
        <v>-461.33618200000001</v>
      </c>
      <c r="X167" s="197">
        <v>-202.09623199999999</v>
      </c>
      <c r="Y167" s="209">
        <f>-210.478803-X167</f>
        <v>-8.3825710000000129</v>
      </c>
      <c r="Z167" s="196">
        <f>-299.183104-SUM(X167:Y167)</f>
        <v>-88.704301000000015</v>
      </c>
      <c r="AA167" s="194"/>
      <c r="AB167" s="657">
        <f t="shared" si="329"/>
        <v>-299.18310400000001</v>
      </c>
      <c r="AC167" s="33"/>
      <c r="AD167" s="33"/>
      <c r="AE167" s="33"/>
      <c r="AF167" s="33"/>
      <c r="AG167" s="657"/>
      <c r="AH167" s="33"/>
      <c r="AI167" s="33"/>
      <c r="AJ167" s="33"/>
      <c r="AK167" s="934"/>
      <c r="AL167" s="657"/>
      <c r="AM167" s="68"/>
      <c r="AN167" s="68"/>
      <c r="AO167" s="68"/>
      <c r="AP167" s="68"/>
      <c r="AQ167" s="672"/>
    </row>
    <row r="168" spans="2:43" ht="15.75" customHeight="1" outlineLevel="1">
      <c r="B168" s="733" t="s">
        <v>217</v>
      </c>
      <c r="C168" s="732"/>
      <c r="D168" s="196"/>
      <c r="E168" s="874"/>
      <c r="F168" s="873"/>
      <c r="G168" s="874"/>
      <c r="H168" s="887"/>
      <c r="I168" s="874"/>
      <c r="J168" s="873"/>
      <c r="K168" s="874"/>
      <c r="L168" s="877"/>
      <c r="M168" s="887"/>
      <c r="N168" s="874"/>
      <c r="O168" s="873"/>
      <c r="P168" s="873"/>
      <c r="Q168" s="873"/>
      <c r="R168" s="887"/>
      <c r="S168" s="199"/>
      <c r="T168" s="199"/>
      <c r="U168" s="137"/>
      <c r="V168" s="137"/>
      <c r="W168" s="681"/>
      <c r="X168" s="137"/>
      <c r="Y168" s="137"/>
      <c r="Z168" s="137"/>
      <c r="AA168" s="194"/>
      <c r="AB168" s="657"/>
      <c r="AC168" s="33"/>
      <c r="AD168" s="33"/>
      <c r="AE168" s="33"/>
      <c r="AF168" s="33"/>
      <c r="AG168" s="657"/>
      <c r="AH168" s="33"/>
      <c r="AI168" s="33"/>
      <c r="AJ168" s="33"/>
      <c r="AK168" s="934"/>
      <c r="AL168" s="657"/>
      <c r="AM168" s="68"/>
      <c r="AN168" s="68"/>
      <c r="AO168" s="68"/>
      <c r="AP168" s="68"/>
      <c r="AQ168" s="672"/>
    </row>
    <row r="169" spans="2:43" ht="15.75" customHeight="1" outlineLevel="1">
      <c r="B169" s="195" t="s">
        <v>218</v>
      </c>
      <c r="C169" s="201"/>
      <c r="D169" s="196"/>
      <c r="E169" s="210"/>
      <c r="F169" s="873"/>
      <c r="G169" s="874">
        <f t="shared" ref="G169:G170" si="336">H169-SUM(D169:F169)</f>
        <v>0</v>
      </c>
      <c r="H169" s="887"/>
      <c r="I169" s="85"/>
      <c r="J169" s="196"/>
      <c r="K169" s="197">
        <v>-1746.0737979999999</v>
      </c>
      <c r="L169" s="878">
        <f t="shared" ref="L169:L171" si="337">M169-SUM(I169:K169)</f>
        <v>1746.0737979999999</v>
      </c>
      <c r="M169" s="887"/>
      <c r="N169" s="879">
        <v>-829.600776</v>
      </c>
      <c r="O169" s="880">
        <f>-1707.116139-N169</f>
        <v>-877.51536299999998</v>
      </c>
      <c r="P169" s="880">
        <f>-2396.400252-SUM(N169:O169)</f>
        <v>-689.28411299999993</v>
      </c>
      <c r="Q169" s="873">
        <f t="shared" ref="Q169:Q171" si="338">R169-SUM(N169:P169)</f>
        <v>-1143.2309020000002</v>
      </c>
      <c r="R169" s="907">
        <v>-3539.6311540000002</v>
      </c>
      <c r="S169" s="199">
        <v>-1053.317237</v>
      </c>
      <c r="T169" s="211">
        <f>-2087.472875-S169</f>
        <v>-1034.155638</v>
      </c>
      <c r="U169" s="137">
        <f>-3105.111962-SUM(S169:T169)</f>
        <v>-1017.639087</v>
      </c>
      <c r="V169" s="137">
        <f t="shared" ref="V169:V171" si="339">W169-SUM(S169:U169)</f>
        <v>-1062.1499970000004</v>
      </c>
      <c r="W169" s="681">
        <f>(2809.104447+ 854.280773+503.876739)*-1</f>
        <v>-4167.2619590000004</v>
      </c>
      <c r="X169" s="212">
        <v>-1328.914</v>
      </c>
      <c r="Y169" s="137">
        <f>-2817.665142-X169</f>
        <v>-1488.7511419999998</v>
      </c>
      <c r="Z169" s="137">
        <f>-4138.528875-SUM(X169:Y169)</f>
        <v>-1320.8637330000001</v>
      </c>
      <c r="AA169" s="4">
        <f t="shared" ref="AA169:AA170" si="340">-AA26</f>
        <v>-1127.7504667540518</v>
      </c>
      <c r="AB169" s="657">
        <f t="shared" ref="AB169:AB171" si="341">SUM(X169:AA169)</f>
        <v>-5266.2793417540515</v>
      </c>
      <c r="AC169" s="4">
        <f t="shared" ref="AC169:AF169" si="342">-AC26</f>
        <v>-1022.8180871775318</v>
      </c>
      <c r="AD169" s="33">
        <f t="shared" si="342"/>
        <v>-856.42266651977559</v>
      </c>
      <c r="AE169" s="4">
        <f t="shared" si="342"/>
        <v>-596.30120612331677</v>
      </c>
      <c r="AF169" s="33">
        <f t="shared" si="342"/>
        <v>-737.63530143378171</v>
      </c>
      <c r="AG169" s="663">
        <f t="shared" ref="AG169:AG170" si="343">SUM(AC169:AF169)</f>
        <v>-3213.1772612544055</v>
      </c>
      <c r="AH169" s="33">
        <f t="shared" ref="AH169:AK169" si="344">-AH26</f>
        <v>-733.52220027591659</v>
      </c>
      <c r="AI169" s="33">
        <f t="shared" si="344"/>
        <v>-749.57325391341703</v>
      </c>
      <c r="AJ169" s="4">
        <f t="shared" si="344"/>
        <v>-707.233630839292</v>
      </c>
      <c r="AK169" s="934">
        <f t="shared" si="344"/>
        <v>-755.96216714830541</v>
      </c>
      <c r="AL169" s="663">
        <f>SUM(AH169:AK169)</f>
        <v>-2946.2912521769313</v>
      </c>
      <c r="AM169" s="33">
        <f t="shared" ref="AM169:AP169" si="345">-AM26</f>
        <v>-770.26330710488435</v>
      </c>
      <c r="AN169" s="4">
        <f t="shared" si="345"/>
        <v>-722.11836343048492</v>
      </c>
      <c r="AO169" s="33">
        <f t="shared" si="345"/>
        <v>-752.1664415997642</v>
      </c>
      <c r="AP169" s="4">
        <f t="shared" si="345"/>
        <v>-792.23796972193225</v>
      </c>
      <c r="AQ169" s="657">
        <f>SUM(AM169:AP169)</f>
        <v>-3036.7860818570657</v>
      </c>
    </row>
    <row r="170" spans="2:43" ht="15.75" customHeight="1" outlineLevel="1">
      <c r="B170" s="195" t="s">
        <v>219</v>
      </c>
      <c r="C170" s="201"/>
      <c r="D170" s="196">
        <v>-114.141334</v>
      </c>
      <c r="E170" s="197">
        <f>-164.504929-D170</f>
        <v>-50.363595000000004</v>
      </c>
      <c r="F170" s="196">
        <f>-193.295803-SUM(D170:E170)</f>
        <v>-28.790874000000002</v>
      </c>
      <c r="G170" s="874">
        <f t="shared" si="336"/>
        <v>-134.89431899999997</v>
      </c>
      <c r="H170" s="888">
        <v>-328.19012199999997</v>
      </c>
      <c r="I170" s="197">
        <v>-25.855922</v>
      </c>
      <c r="J170" s="196">
        <f>-35.835709-I170</f>
        <v>-9.9797870000000017</v>
      </c>
      <c r="K170" s="197">
        <f>-58.88573-SUM(I170:J170)</f>
        <v>-23.050021000000001</v>
      </c>
      <c r="L170" s="878">
        <f t="shared" si="337"/>
        <v>58.885730000000002</v>
      </c>
      <c r="M170" s="887"/>
      <c r="N170" s="197">
        <v>-24.236982000000001</v>
      </c>
      <c r="O170" s="196">
        <f>-48.157732-N170</f>
        <v>-23.920750000000002</v>
      </c>
      <c r="P170" s="196">
        <f>-229.821198-SUM(N170:O170)</f>
        <v>-181.663466</v>
      </c>
      <c r="Q170" s="873">
        <f t="shared" si="338"/>
        <v>-3.1165579999999977</v>
      </c>
      <c r="R170" s="888">
        <v>-232.93775600000001</v>
      </c>
      <c r="S170" s="210">
        <v>-14.816295</v>
      </c>
      <c r="T170" s="210">
        <f>-14.816295-S170</f>
        <v>0</v>
      </c>
      <c r="U170" s="197">
        <f>-131.27951-SUM(S170:T170)</f>
        <v>-116.46321499999999</v>
      </c>
      <c r="V170" s="137">
        <f t="shared" si="339"/>
        <v>-283.16982400000006</v>
      </c>
      <c r="W170" s="888">
        <v>-414.44933400000002</v>
      </c>
      <c r="X170" s="212">
        <v>-39.298560000000002</v>
      </c>
      <c r="Y170" s="197">
        <f>-127.564112-X170</f>
        <v>-88.265551999999985</v>
      </c>
      <c r="Z170" s="196">
        <f>-269.898673-SUM(X170:Y170)</f>
        <v>-142.33456099999998</v>
      </c>
      <c r="AA170" s="194">
        <f t="shared" si="340"/>
        <v>0</v>
      </c>
      <c r="AB170" s="657">
        <f t="shared" si="341"/>
        <v>-269.89867299999997</v>
      </c>
      <c r="AC170" s="194">
        <f t="shared" ref="AC170:AF170" si="346">-AC27</f>
        <v>0</v>
      </c>
      <c r="AD170" s="33">
        <f t="shared" si="346"/>
        <v>0</v>
      </c>
      <c r="AE170" s="194">
        <f t="shared" si="346"/>
        <v>0</v>
      </c>
      <c r="AF170" s="194">
        <f t="shared" si="346"/>
        <v>0</v>
      </c>
      <c r="AG170" s="663">
        <f t="shared" si="343"/>
        <v>0</v>
      </c>
      <c r="AH170" s="33">
        <f t="shared" ref="AH170:AQ170" si="347">-AH27</f>
        <v>0</v>
      </c>
      <c r="AI170" s="33">
        <f t="shared" si="347"/>
        <v>0</v>
      </c>
      <c r="AJ170" s="194">
        <f t="shared" si="347"/>
        <v>0</v>
      </c>
      <c r="AK170" s="938">
        <f t="shared" si="347"/>
        <v>0</v>
      </c>
      <c r="AL170" s="923">
        <f t="shared" si="347"/>
        <v>0</v>
      </c>
      <c r="AM170" s="33">
        <f t="shared" si="347"/>
        <v>0</v>
      </c>
      <c r="AN170" s="194">
        <f t="shared" si="347"/>
        <v>0</v>
      </c>
      <c r="AO170" s="33">
        <f t="shared" si="347"/>
        <v>0</v>
      </c>
      <c r="AP170" s="194">
        <f t="shared" si="347"/>
        <v>0</v>
      </c>
      <c r="AQ170" s="657">
        <f t="shared" si="347"/>
        <v>0</v>
      </c>
    </row>
    <row r="171" spans="2:43" ht="15.75" customHeight="1" outlineLevel="1">
      <c r="B171" s="195" t="s">
        <v>220</v>
      </c>
      <c r="C171" s="201"/>
      <c r="D171" s="873"/>
      <c r="E171" s="874"/>
      <c r="F171" s="873"/>
      <c r="G171" s="874"/>
      <c r="H171" s="887"/>
      <c r="I171" s="874"/>
      <c r="J171" s="873"/>
      <c r="K171" s="197">
        <v>-248.542913</v>
      </c>
      <c r="L171" s="878">
        <f t="shared" si="337"/>
        <v>248.542913</v>
      </c>
      <c r="M171" s="887"/>
      <c r="N171" s="197">
        <v>-84.378315999999998</v>
      </c>
      <c r="O171" s="196">
        <f>-84.378316-N171</f>
        <v>0</v>
      </c>
      <c r="P171" s="197">
        <f>-84.378316-SUM(N171:O171)</f>
        <v>0</v>
      </c>
      <c r="Q171" s="873">
        <f t="shared" si="338"/>
        <v>-4.8069650000000053</v>
      </c>
      <c r="R171" s="888">
        <v>-89.185281000000003</v>
      </c>
      <c r="S171" s="210">
        <v>-0.85255800000000004</v>
      </c>
      <c r="T171" s="210">
        <f>-0.852558-S171</f>
        <v>0</v>
      </c>
      <c r="U171" s="197">
        <f>-8.431489-SUM(S171:T171)</f>
        <v>-7.578930999999999</v>
      </c>
      <c r="V171" s="137">
        <f t="shared" si="339"/>
        <v>-1.4812690000000011</v>
      </c>
      <c r="W171" s="888">
        <v>-9.9127580000000002</v>
      </c>
      <c r="X171" s="137">
        <v>-86.372739999999993</v>
      </c>
      <c r="Y171" s="138">
        <f>-93.192919-X171</f>
        <v>-6.8201790000000102</v>
      </c>
      <c r="Z171" s="196">
        <f>-131.505813-SUM(X171:Y171)</f>
        <v>-38.312893999999986</v>
      </c>
      <c r="AA171" s="194"/>
      <c r="AB171" s="657">
        <f t="shared" si="341"/>
        <v>-131.50581299999999</v>
      </c>
      <c r="AC171" s="33"/>
      <c r="AD171" s="33"/>
      <c r="AE171" s="33"/>
      <c r="AF171" s="33"/>
      <c r="AG171" s="657"/>
      <c r="AH171" s="33"/>
      <c r="AI171" s="33"/>
      <c r="AJ171" s="33"/>
      <c r="AK171" s="934"/>
      <c r="AL171" s="657"/>
      <c r="AM171" s="68"/>
      <c r="AN171" s="68"/>
      <c r="AO171" s="68"/>
      <c r="AP171" s="68"/>
      <c r="AQ171" s="672"/>
    </row>
    <row r="172" spans="2:43" ht="15.75" customHeight="1" outlineLevel="1">
      <c r="B172" s="195" t="s">
        <v>221</v>
      </c>
      <c r="C172" s="201"/>
      <c r="D172" s="873"/>
      <c r="E172" s="874"/>
      <c r="F172" s="873"/>
      <c r="G172" s="874"/>
      <c r="H172" s="887"/>
      <c r="I172" s="874"/>
      <c r="J172" s="873"/>
      <c r="K172" s="874"/>
      <c r="L172" s="878"/>
      <c r="M172" s="887"/>
      <c r="N172" s="874"/>
      <c r="O172" s="873"/>
      <c r="P172" s="874"/>
      <c r="Q172" s="873"/>
      <c r="R172" s="887"/>
      <c r="S172" s="199"/>
      <c r="T172" s="199"/>
      <c r="U172" s="138"/>
      <c r="V172" s="137"/>
      <c r="W172" s="682"/>
      <c r="X172" s="137"/>
      <c r="Y172" s="138"/>
      <c r="Z172" s="138"/>
      <c r="AA172" s="194"/>
      <c r="AB172" s="657"/>
      <c r="AC172" s="33"/>
      <c r="AD172" s="33"/>
      <c r="AE172" s="33"/>
      <c r="AF172" s="33"/>
      <c r="AG172" s="657"/>
      <c r="AH172" s="33"/>
      <c r="AI172" s="33"/>
      <c r="AJ172" s="33"/>
      <c r="AK172" s="934"/>
      <c r="AL172" s="657"/>
      <c r="AM172" s="68"/>
      <c r="AN172" s="68"/>
      <c r="AO172" s="68"/>
      <c r="AP172" s="68"/>
      <c r="AQ172" s="672"/>
    </row>
    <row r="173" spans="2:43" ht="15.75" customHeight="1" outlineLevel="1">
      <c r="B173" s="734" t="s">
        <v>222</v>
      </c>
      <c r="C173" s="732"/>
      <c r="D173" s="873"/>
      <c r="E173" s="874"/>
      <c r="F173" s="874"/>
      <c r="G173" s="874"/>
      <c r="H173" s="887"/>
      <c r="I173" s="874"/>
      <c r="J173" s="873"/>
      <c r="K173" s="874"/>
      <c r="L173" s="878"/>
      <c r="M173" s="887"/>
      <c r="N173" s="874"/>
      <c r="O173" s="873"/>
      <c r="P173" s="874"/>
      <c r="Q173" s="873">
        <f t="shared" ref="Q173:Q174" si="348">R173-SUM(N173:P173)</f>
        <v>79.798314000000005</v>
      </c>
      <c r="R173" s="888">
        <v>79.798314000000005</v>
      </c>
      <c r="S173" s="199"/>
      <c r="T173" s="199"/>
      <c r="U173" s="138"/>
      <c r="V173" s="137">
        <f t="shared" ref="V173:V174" si="349">W173-SUM(S173:U173)</f>
        <v>-207.99619899999999</v>
      </c>
      <c r="W173" s="888">
        <v>-207.99619899999999</v>
      </c>
      <c r="X173" s="210">
        <v>-4.1432089999999997</v>
      </c>
      <c r="Y173" s="197">
        <f>-8.686642-X173</f>
        <v>-4.5434330000000012</v>
      </c>
      <c r="Z173" s="196">
        <f>-13.983946-SUM(X173:Y173)</f>
        <v>-5.2973039999999987</v>
      </c>
      <c r="AA173" s="194"/>
      <c r="AB173" s="657">
        <f t="shared" ref="AB173:AB175" si="350">SUM(X173:AA173)</f>
        <v>-13.983946</v>
      </c>
      <c r="AC173" s="33"/>
      <c r="AD173" s="33"/>
      <c r="AE173" s="33"/>
      <c r="AF173" s="33"/>
      <c r="AG173" s="657"/>
      <c r="AH173" s="33"/>
      <c r="AI173" s="33"/>
      <c r="AJ173" s="33"/>
      <c r="AK173" s="934"/>
      <c r="AL173" s="657"/>
      <c r="AM173" s="68"/>
      <c r="AN173" s="68"/>
      <c r="AO173" s="68"/>
      <c r="AP173" s="68"/>
      <c r="AQ173" s="672"/>
    </row>
    <row r="174" spans="2:43" ht="15.75" customHeight="1" outlineLevel="1">
      <c r="B174" s="195" t="s">
        <v>223</v>
      </c>
      <c r="C174" s="201"/>
      <c r="D174" s="873"/>
      <c r="E174" s="874"/>
      <c r="F174" s="873"/>
      <c r="G174" s="874"/>
      <c r="H174" s="887"/>
      <c r="I174" s="874"/>
      <c r="J174" s="873"/>
      <c r="K174" s="197">
        <v>-26.810269000000002</v>
      </c>
      <c r="L174" s="878">
        <f t="shared" ref="L174:L175" si="351">M174-SUM(I174:K174)</f>
        <v>26.810269000000002</v>
      </c>
      <c r="M174" s="887"/>
      <c r="N174" s="197">
        <v>-26.851555999999999</v>
      </c>
      <c r="O174" s="196">
        <f>-51.979125-N174</f>
        <v>-25.127569000000005</v>
      </c>
      <c r="P174" s="197">
        <f>-156.508572-SUM(N174:O174)</f>
        <v>-104.52944699999998</v>
      </c>
      <c r="Q174" s="873">
        <f t="shared" si="348"/>
        <v>61.007840999999985</v>
      </c>
      <c r="R174" s="888">
        <v>-95.500731000000002</v>
      </c>
      <c r="S174" s="210">
        <v>-18.420621000000001</v>
      </c>
      <c r="T174" s="210">
        <f>-34.547098-S174</f>
        <v>-16.126476999999998</v>
      </c>
      <c r="U174" s="197">
        <f>-47.956454-SUM(S174:T174)</f>
        <v>-13.409356000000002</v>
      </c>
      <c r="V174" s="137">
        <f t="shared" si="349"/>
        <v>-11.038921999999999</v>
      </c>
      <c r="W174" s="916">
        <v>-58.995376</v>
      </c>
      <c r="X174" s="137">
        <v>-9.63551</v>
      </c>
      <c r="Y174" s="197">
        <f>-17.688683-X174</f>
        <v>-8.053173000000001</v>
      </c>
      <c r="Z174" s="196">
        <f>-23.998666-SUM(X174:Y174)</f>
        <v>-6.309982999999999</v>
      </c>
      <c r="AA174" s="194"/>
      <c r="AB174" s="657">
        <f t="shared" si="350"/>
        <v>-23.998666</v>
      </c>
      <c r="AC174" s="33"/>
      <c r="AD174" s="33"/>
      <c r="AE174" s="33"/>
      <c r="AF174" s="33"/>
      <c r="AG174" s="657"/>
      <c r="AH174" s="33"/>
      <c r="AI174" s="33"/>
      <c r="AJ174" s="33"/>
      <c r="AK174" s="934"/>
      <c r="AL174" s="657"/>
      <c r="AM174" s="68"/>
      <c r="AN174" s="68"/>
      <c r="AO174" s="68"/>
      <c r="AP174" s="68"/>
      <c r="AQ174" s="672"/>
    </row>
    <row r="175" spans="2:43" ht="15.75" customHeight="1" outlineLevel="1">
      <c r="B175" s="195" t="s">
        <v>224</v>
      </c>
      <c r="C175" s="201"/>
      <c r="D175" s="196">
        <v>-754.02672800000005</v>
      </c>
      <c r="E175" s="197">
        <f>-1445.417971-D175</f>
        <v>-691.39124300000003</v>
      </c>
      <c r="F175" s="873">
        <f>-2155.415897-SUM(D175:E175)</f>
        <v>-709.99792599999978</v>
      </c>
      <c r="G175" s="874">
        <f>H175-SUM(D175:F175)</f>
        <v>-847.36963100000003</v>
      </c>
      <c r="H175" s="888">
        <v>-3002.7855279999999</v>
      </c>
      <c r="I175" s="197">
        <v>-939.89064099999996</v>
      </c>
      <c r="J175" s="196">
        <f>-1683.443901-I175</f>
        <v>-743.55326000000014</v>
      </c>
      <c r="K175" s="874">
        <f>-367.680147-SUM(I175:J175)</f>
        <v>1315.7637540000001</v>
      </c>
      <c r="L175" s="873">
        <f t="shared" si="351"/>
        <v>-3073.9985969999998</v>
      </c>
      <c r="M175" s="888">
        <v>-3441.6787439999998</v>
      </c>
      <c r="N175" s="874"/>
      <c r="O175" s="873"/>
      <c r="P175" s="874"/>
      <c r="Q175" s="873"/>
      <c r="R175" s="887"/>
      <c r="S175" s="199"/>
      <c r="T175" s="200"/>
      <c r="U175" s="138"/>
      <c r="V175" s="137"/>
      <c r="W175" s="682"/>
      <c r="X175" s="137"/>
      <c r="Y175" s="197"/>
      <c r="Z175" s="138"/>
      <c r="AA175" s="194">
        <f>-AA30</f>
        <v>0</v>
      </c>
      <c r="AB175" s="657">
        <f t="shared" si="350"/>
        <v>0</v>
      </c>
      <c r="AC175" s="194">
        <f t="shared" ref="AC175:AQ175" si="352">-AC30</f>
        <v>0</v>
      </c>
      <c r="AD175" s="194">
        <f t="shared" si="352"/>
        <v>0</v>
      </c>
      <c r="AE175" s="194">
        <f t="shared" si="352"/>
        <v>0</v>
      </c>
      <c r="AF175" s="194">
        <f t="shared" si="352"/>
        <v>0</v>
      </c>
      <c r="AG175" s="923">
        <f t="shared" si="352"/>
        <v>0</v>
      </c>
      <c r="AH175" s="194">
        <f t="shared" si="352"/>
        <v>0</v>
      </c>
      <c r="AI175" s="194">
        <f t="shared" si="352"/>
        <v>0</v>
      </c>
      <c r="AJ175" s="194">
        <f t="shared" si="352"/>
        <v>0</v>
      </c>
      <c r="AK175" s="938">
        <f t="shared" si="352"/>
        <v>0</v>
      </c>
      <c r="AL175" s="923">
        <f t="shared" si="352"/>
        <v>0</v>
      </c>
      <c r="AM175" s="194">
        <f t="shared" si="352"/>
        <v>0</v>
      </c>
      <c r="AN175" s="194">
        <f t="shared" si="352"/>
        <v>0</v>
      </c>
      <c r="AO175" s="194">
        <f t="shared" si="352"/>
        <v>0</v>
      </c>
      <c r="AP175" s="194">
        <f t="shared" si="352"/>
        <v>0</v>
      </c>
      <c r="AQ175" s="923">
        <f t="shared" si="352"/>
        <v>0</v>
      </c>
    </row>
    <row r="176" spans="2:43" ht="15.75" customHeight="1" outlineLevel="1">
      <c r="B176" s="733" t="s">
        <v>225</v>
      </c>
      <c r="C176" s="732"/>
      <c r="D176" s="873"/>
      <c r="E176" s="874"/>
      <c r="F176" s="873"/>
      <c r="G176" s="874"/>
      <c r="H176" s="887"/>
      <c r="I176" s="874"/>
      <c r="J176" s="873"/>
      <c r="K176" s="874"/>
      <c r="L176" s="873"/>
      <c r="M176" s="887"/>
      <c r="N176" s="874"/>
      <c r="O176" s="873"/>
      <c r="P176" s="874"/>
      <c r="Q176" s="873"/>
      <c r="R176" s="887"/>
      <c r="S176" s="199"/>
      <c r="T176" s="199"/>
      <c r="U176" s="138"/>
      <c r="V176" s="137"/>
      <c r="W176" s="682"/>
      <c r="X176" s="137"/>
      <c r="Y176" s="138"/>
      <c r="Z176" s="138"/>
      <c r="AA176" s="194"/>
      <c r="AB176" s="657"/>
      <c r="AC176" s="33"/>
      <c r="AD176" s="33"/>
      <c r="AE176" s="33"/>
      <c r="AF176" s="33"/>
      <c r="AG176" s="657"/>
      <c r="AH176" s="33"/>
      <c r="AI176" s="33"/>
      <c r="AJ176" s="33"/>
      <c r="AK176" s="934"/>
      <c r="AL176" s="657"/>
      <c r="AM176" s="68"/>
      <c r="AN176" s="68"/>
      <c r="AO176" s="68"/>
      <c r="AP176" s="68"/>
      <c r="AQ176" s="672"/>
    </row>
    <row r="177" spans="1:66" ht="15.75" customHeight="1" outlineLevel="1">
      <c r="B177" s="731" t="s">
        <v>140</v>
      </c>
      <c r="C177" s="732"/>
      <c r="D177" s="196">
        <v>-164.10741300000001</v>
      </c>
      <c r="E177" s="197">
        <f>-167.669461-D177</f>
        <v>-3.5620480000000043</v>
      </c>
      <c r="F177" s="196">
        <f>-401.283238-SUM(D177:E177)</f>
        <v>-233.61377699999997</v>
      </c>
      <c r="G177" s="874">
        <f>H177-SUM(D177:F177)</f>
        <v>285.44706099999996</v>
      </c>
      <c r="H177" s="888">
        <v>-115.83617700000001</v>
      </c>
      <c r="I177" s="197">
        <v>43.452514999999998</v>
      </c>
      <c r="J177" s="196">
        <f>-106.874639-I177</f>
        <v>-150.32715400000001</v>
      </c>
      <c r="K177" s="197">
        <f>-116.782873-SUM(I177:J177)</f>
        <v>-9.9082339999999931</v>
      </c>
      <c r="L177" s="873">
        <f>M177-SUM(I177:K177)</f>
        <v>-406.14732900000001</v>
      </c>
      <c r="M177" s="888">
        <v>-522.93020200000001</v>
      </c>
      <c r="N177" s="197">
        <v>0.55634300000000003</v>
      </c>
      <c r="O177" s="196">
        <f>-539.710272-N177</f>
        <v>-540.266615</v>
      </c>
      <c r="P177" s="197">
        <f>-429.333178-SUM(N177:O177)</f>
        <v>110.37709400000006</v>
      </c>
      <c r="Q177" s="873">
        <f>R177-SUM(N177:P177)</f>
        <v>-933.86921300000006</v>
      </c>
      <c r="R177" s="888">
        <v>-1363.202391</v>
      </c>
      <c r="S177" s="197">
        <v>1745.725614</v>
      </c>
      <c r="T177" s="197">
        <f>581.132314-S177</f>
        <v>-1164.5933</v>
      </c>
      <c r="U177" s="197">
        <f>1402.826563-SUM(S177:T177)</f>
        <v>821.69424900000013</v>
      </c>
      <c r="V177" s="137">
        <f t="shared" ref="V177:V179" si="353">W177-SUM(S177:U177)</f>
        <v>-533.13011100000006</v>
      </c>
      <c r="W177" s="916">
        <v>869.69645200000002</v>
      </c>
      <c r="X177" s="137">
        <v>-668.67700000000002</v>
      </c>
      <c r="Y177" s="197">
        <f>-16.834156-X177</f>
        <v>651.84284400000001</v>
      </c>
      <c r="Z177" s="196">
        <f>-2243.454244-SUM(X177:Y177)</f>
        <v>-2226.6200880000001</v>
      </c>
      <c r="AA177" s="194">
        <f>-(AA83-Z83)</f>
        <v>3794.3216032295204</v>
      </c>
      <c r="AB177" s="923">
        <f t="shared" ref="AB177:AB179" si="354">SUM(X177:AA177)</f>
        <v>1550.8673592295204</v>
      </c>
      <c r="AC177" s="194">
        <f t="shared" ref="AC177:AF177" si="355">-(AC83-AB83)</f>
        <v>-5494.4916921677486</v>
      </c>
      <c r="AD177" s="194">
        <f t="shared" si="355"/>
        <v>6728.6101239148484</v>
      </c>
      <c r="AE177" s="194">
        <f t="shared" si="355"/>
        <v>-9828.5399877075324</v>
      </c>
      <c r="AF177" s="194">
        <f t="shared" si="355"/>
        <v>10293.107492819301</v>
      </c>
      <c r="AG177" s="923">
        <f>SUM(AC177:AF177)</f>
        <v>1698.6859368588684</v>
      </c>
      <c r="AH177" s="194">
        <f t="shared" ref="AH177:AK177" si="356">-(AH83-AG83)</f>
        <v>-12812.39927195973</v>
      </c>
      <c r="AI177" s="194">
        <f t="shared" si="356"/>
        <v>14399.781924436762</v>
      </c>
      <c r="AJ177" s="194">
        <f t="shared" si="356"/>
        <v>-18387.061234991932</v>
      </c>
      <c r="AK177" s="938">
        <f t="shared" si="356"/>
        <v>18984.610367675232</v>
      </c>
      <c r="AL177" s="923">
        <f>SUM(AH177:AK177)</f>
        <v>2184.9317851603337</v>
      </c>
      <c r="AM177" s="194">
        <f t="shared" ref="AM177:AP177" si="357">-(AM83-AL83)</f>
        <v>-22225.044967678867</v>
      </c>
      <c r="AN177" s="194">
        <f t="shared" si="357"/>
        <v>12133.406549973124</v>
      </c>
      <c r="AO177" s="194">
        <f t="shared" si="357"/>
        <v>-5128.6309687439243</v>
      </c>
      <c r="AP177" s="194">
        <f t="shared" si="357"/>
        <v>5897.2274849480891</v>
      </c>
      <c r="AQ177" s="923">
        <f>SUM(AM177:AP177)</f>
        <v>-9323.0419015015777</v>
      </c>
    </row>
    <row r="178" spans="1:66" ht="15.75" customHeight="1" outlineLevel="1">
      <c r="B178" s="734" t="s">
        <v>226</v>
      </c>
      <c r="C178" s="732"/>
      <c r="D178" s="196"/>
      <c r="E178" s="210"/>
      <c r="F178" s="196"/>
      <c r="G178" s="210"/>
      <c r="H178" s="888"/>
      <c r="I178" s="210"/>
      <c r="J178" s="196"/>
      <c r="K178" s="210"/>
      <c r="L178" s="873"/>
      <c r="M178" s="887"/>
      <c r="N178" s="874"/>
      <c r="O178" s="873"/>
      <c r="P178" s="874"/>
      <c r="Q178" s="873"/>
      <c r="R178" s="887"/>
      <c r="S178" s="199"/>
      <c r="T178" s="197">
        <f>961.655427-S178</f>
        <v>961.65542700000003</v>
      </c>
      <c r="U178" s="197">
        <f>1429.817148-SUM(S178:T178)</f>
        <v>468.16172100000006</v>
      </c>
      <c r="V178" s="137">
        <f t="shared" si="353"/>
        <v>-21.306747000000087</v>
      </c>
      <c r="W178" s="916">
        <v>1408.510401</v>
      </c>
      <c r="X178" s="137">
        <v>5.1120619999999999</v>
      </c>
      <c r="Y178" s="197">
        <f>-0.089127-X178</f>
        <v>-5.2011890000000003</v>
      </c>
      <c r="Z178" s="196">
        <f>88.791962-SUM(X178:Y178)</f>
        <v>88.881089000000003</v>
      </c>
      <c r="AA178" s="194"/>
      <c r="AB178" s="657">
        <f t="shared" si="354"/>
        <v>88.791961999999998</v>
      </c>
      <c r="AC178" s="33"/>
      <c r="AD178" s="33"/>
      <c r="AE178" s="33"/>
      <c r="AF178" s="33"/>
      <c r="AG178" s="657"/>
      <c r="AH178" s="33"/>
      <c r="AI178" s="33"/>
      <c r="AJ178" s="33"/>
      <c r="AK178" s="934"/>
      <c r="AL178" s="657"/>
      <c r="AM178" s="68"/>
      <c r="AN178" s="68"/>
      <c r="AO178" s="68"/>
      <c r="AP178" s="68"/>
      <c r="AQ178" s="672"/>
    </row>
    <row r="179" spans="1:66" ht="15.75" customHeight="1" outlineLevel="1">
      <c r="B179" s="731" t="s">
        <v>142</v>
      </c>
      <c r="C179" s="732"/>
      <c r="D179" s="196">
        <v>-673.89436499999999</v>
      </c>
      <c r="E179" s="197">
        <f>-846.545658-D179</f>
        <v>-172.65129300000001</v>
      </c>
      <c r="F179" s="196">
        <f>-1537.808014-SUM(D179:E179)</f>
        <v>-691.26235599999995</v>
      </c>
      <c r="G179" s="874">
        <f>H179-SUM(D179:F179)</f>
        <v>-20.182585000000017</v>
      </c>
      <c r="H179" s="888">
        <v>-1557.990599</v>
      </c>
      <c r="I179" s="197">
        <v>724.46244000000002</v>
      </c>
      <c r="J179" s="196">
        <f>773.540261-I179</f>
        <v>49.077820999999972</v>
      </c>
      <c r="K179" s="197">
        <f>178.147105-SUM(I179:J179)</f>
        <v>-595.39315599999998</v>
      </c>
      <c r="L179" s="873">
        <f>M179-SUM(I179:K179)</f>
        <v>-1146.8613209999999</v>
      </c>
      <c r="M179" s="888">
        <v>-968.71421599999996</v>
      </c>
      <c r="N179" s="197">
        <v>-165.06074799999999</v>
      </c>
      <c r="O179" s="196">
        <f>-1224.921966-N179</f>
        <v>-1059.861218</v>
      </c>
      <c r="P179" s="197">
        <f>-3050.448821-SUM(N179:O179)</f>
        <v>-1825.5268550000001</v>
      </c>
      <c r="Q179" s="873">
        <f>R179-SUM(N179:P179)</f>
        <v>-1126.2343419999997</v>
      </c>
      <c r="R179" s="888">
        <v>-4176.6831629999997</v>
      </c>
      <c r="S179" s="197">
        <v>907.01270799999998</v>
      </c>
      <c r="T179" s="197">
        <f>-32.901685-S179</f>
        <v>-939.91439300000002</v>
      </c>
      <c r="U179" s="197">
        <f>-810.110766-SUM(S179:T179)</f>
        <v>-777.20908099999997</v>
      </c>
      <c r="V179" s="137">
        <f t="shared" si="353"/>
        <v>455.15657600000003</v>
      </c>
      <c r="W179" s="916">
        <v>-354.95418999999998</v>
      </c>
      <c r="X179" s="137">
        <v>-1431.73</v>
      </c>
      <c r="Y179" s="197">
        <f>-2010.164093-X179</f>
        <v>-578.43409300000008</v>
      </c>
      <c r="Z179" s="196">
        <f>-1268.808782-SUM(X179:Y179)</f>
        <v>741.35531100000003</v>
      </c>
      <c r="AA179" s="194">
        <f>-(AA85-Z85)</f>
        <v>4640.2564031774746</v>
      </c>
      <c r="AB179" s="923">
        <f t="shared" si="354"/>
        <v>3371.4476211774745</v>
      </c>
      <c r="AC179" s="194">
        <f t="shared" ref="AC179:AF179" si="358">-(AC85-AB85)</f>
        <v>-10640.399636635484</v>
      </c>
      <c r="AD179" s="194">
        <f t="shared" si="358"/>
        <v>7060.6604156681751</v>
      </c>
      <c r="AE179" s="194">
        <f t="shared" si="358"/>
        <v>-1670.9561501010867</v>
      </c>
      <c r="AF179" s="194">
        <f t="shared" si="358"/>
        <v>2870.7386189979316</v>
      </c>
      <c r="AG179" s="923">
        <f>SUM(AC179:AF179)</f>
        <v>-2379.9567520704641</v>
      </c>
      <c r="AH179" s="194">
        <f t="shared" ref="AH179:AK179" si="359">-(AH85-AG85)</f>
        <v>-6674.5436843196021</v>
      </c>
      <c r="AI179" s="194">
        <f t="shared" si="359"/>
        <v>5125.2871489134814</v>
      </c>
      <c r="AJ179" s="194">
        <f t="shared" si="359"/>
        <v>-1716.6117853189171</v>
      </c>
      <c r="AK179" s="938">
        <f t="shared" si="359"/>
        <v>5898.3519653030526</v>
      </c>
      <c r="AL179" s="923">
        <f>SUM(AH179:AK179)</f>
        <v>2632.4836445780147</v>
      </c>
      <c r="AM179" s="194">
        <f t="shared" ref="AM179:AP179" si="360">-(AM85-AL85)</f>
        <v>-6377.632303733255</v>
      </c>
      <c r="AN179" s="194">
        <f t="shared" si="360"/>
        <v>-2445.3560034533075</v>
      </c>
      <c r="AO179" s="194">
        <f t="shared" si="360"/>
        <v>282.13886004808592</v>
      </c>
      <c r="AP179" s="194">
        <f t="shared" si="360"/>
        <v>4987.5511910006899</v>
      </c>
      <c r="AQ179" s="923">
        <f>SUM(AM179:AP179)</f>
        <v>-3553.2982561377867</v>
      </c>
    </row>
    <row r="180" spans="1:66" ht="15.75" customHeight="1" outlineLevel="1">
      <c r="B180" s="731" t="s">
        <v>144</v>
      </c>
      <c r="C180" s="732"/>
      <c r="D180" s="873"/>
      <c r="E180" s="874"/>
      <c r="F180" s="873"/>
      <c r="G180" s="874"/>
      <c r="H180" s="887"/>
      <c r="I180" s="874"/>
      <c r="J180" s="873"/>
      <c r="K180" s="874"/>
      <c r="L180" s="873"/>
      <c r="M180" s="887"/>
      <c r="N180" s="874"/>
      <c r="O180" s="873"/>
      <c r="P180" s="874"/>
      <c r="Q180" s="873"/>
      <c r="R180" s="887"/>
      <c r="S180" s="199"/>
      <c r="T180" s="199"/>
      <c r="U180" s="138"/>
      <c r="V180" s="137"/>
      <c r="W180" s="916"/>
      <c r="X180" s="137"/>
      <c r="Y180" s="197"/>
      <c r="Z180" s="138"/>
      <c r="AA180" s="194"/>
      <c r="AB180" s="657"/>
      <c r="AC180" s="33"/>
      <c r="AD180" s="33"/>
      <c r="AE180" s="33"/>
      <c r="AF180" s="33"/>
      <c r="AG180" s="657"/>
      <c r="AH180" s="33"/>
      <c r="AI180" s="33"/>
      <c r="AJ180" s="33"/>
      <c r="AK180" s="934"/>
      <c r="AL180" s="657"/>
      <c r="AM180" s="68"/>
      <c r="AN180" s="68"/>
      <c r="AO180" s="68"/>
      <c r="AP180" s="68"/>
      <c r="AQ180" s="672"/>
    </row>
    <row r="181" spans="1:66" ht="15.75" customHeight="1" outlineLevel="1">
      <c r="B181" s="195" t="s">
        <v>145</v>
      </c>
      <c r="C181" s="214"/>
      <c r="D181" s="196">
        <v>48.749786999999998</v>
      </c>
      <c r="E181" s="197">
        <f>490.438685-D181</f>
        <v>441.68889799999999</v>
      </c>
      <c r="F181" s="196">
        <f>510.318897-SUM(D181:E181)</f>
        <v>19.880212000000029</v>
      </c>
      <c r="G181" s="874">
        <f>H181-SUM(D181:F181)</f>
        <v>-749.75456199999996</v>
      </c>
      <c r="H181" s="888">
        <v>-239.435665</v>
      </c>
      <c r="I181" s="197">
        <v>393.28184900000002</v>
      </c>
      <c r="J181" s="196">
        <f>605.868833-I181</f>
        <v>212.58698399999997</v>
      </c>
      <c r="K181" s="197">
        <f>434.477355-SUM(I181:J181)</f>
        <v>-171.39147800000001</v>
      </c>
      <c r="L181" s="873">
        <f>M181-SUM(I181:K181)</f>
        <v>-662.04898800000001</v>
      </c>
      <c r="M181" s="888">
        <v>-227.57163299999999</v>
      </c>
      <c r="N181" s="197">
        <v>273.94059700000003</v>
      </c>
      <c r="O181" s="196">
        <f>-835.285392-N181</f>
        <v>-1109.225989</v>
      </c>
      <c r="P181" s="197">
        <f>182.626206-SUM(N181:O181)</f>
        <v>1017.911598</v>
      </c>
      <c r="Q181" s="873">
        <f>R181-SUM(N181:P181)</f>
        <v>-435.47783400000003</v>
      </c>
      <c r="R181" s="888">
        <v>-252.85162800000001</v>
      </c>
      <c r="S181" s="197">
        <v>275.597353</v>
      </c>
      <c r="T181" s="197">
        <f>-1257.096192-S181</f>
        <v>-1532.6935450000001</v>
      </c>
      <c r="U181" s="197">
        <f>134.890951-SUM(S181:T181)</f>
        <v>1391.9871430000001</v>
      </c>
      <c r="V181" s="137">
        <f>W181-SUM(S181:U181)</f>
        <v>-141.99818100000007</v>
      </c>
      <c r="W181" s="916">
        <v>-7.1072300000000004</v>
      </c>
      <c r="X181" s="137">
        <v>-223.67099999999999</v>
      </c>
      <c r="Y181" s="197">
        <f>122.401204-X181</f>
        <v>346.072204</v>
      </c>
      <c r="Z181" s="196">
        <f>171.881682-SUM(X181:Y181)</f>
        <v>49.480478000000005</v>
      </c>
      <c r="AA181" s="194">
        <f>-(AA88-Z88)</f>
        <v>10.169709117508773</v>
      </c>
      <c r="AB181" s="923">
        <f>SUM(X181:AA181)</f>
        <v>182.05139111750879</v>
      </c>
      <c r="AC181" s="194">
        <f t="shared" ref="AC181:AF181" si="361">-(AC88-AB88)</f>
        <v>-435.18318776487217</v>
      </c>
      <c r="AD181" s="194">
        <f t="shared" si="361"/>
        <v>542.6057983804144</v>
      </c>
      <c r="AE181" s="194">
        <f t="shared" si="361"/>
        <v>19.232339656492059</v>
      </c>
      <c r="AF181" s="194">
        <f t="shared" si="361"/>
        <v>9.4635300908823865</v>
      </c>
      <c r="AG181" s="923">
        <f>SUM(AC181:AF181)</f>
        <v>136.11848036291667</v>
      </c>
      <c r="AH181" s="194">
        <f t="shared" ref="AH181:AK181" si="362">-(AH88-AG88)</f>
        <v>-404.96430575075533</v>
      </c>
      <c r="AI181" s="194">
        <f t="shared" si="362"/>
        <v>504.9275491685155</v>
      </c>
      <c r="AJ181" s="194">
        <f t="shared" si="362"/>
        <v>17.896856532890979</v>
      </c>
      <c r="AK181" s="938">
        <f t="shared" si="362"/>
        <v>8.8063877487752507</v>
      </c>
      <c r="AL181" s="923">
        <f>SUM(AH181:AK181)</f>
        <v>126.6664876994264</v>
      </c>
      <c r="AM181" s="194">
        <f t="shared" ref="AM181:AP181" si="363">-(AM88-AL88)</f>
        <v>-376.84380633931482</v>
      </c>
      <c r="AN181" s="194">
        <f t="shared" si="363"/>
        <v>469.86565692867885</v>
      </c>
      <c r="AO181" s="194">
        <f t="shared" si="363"/>
        <v>16.654108625351682</v>
      </c>
      <c r="AP181" s="194">
        <f t="shared" si="363"/>
        <v>8.1948770106937445</v>
      </c>
      <c r="AQ181" s="923">
        <f>SUM(AM181:AP181)</f>
        <v>117.87083622540945</v>
      </c>
    </row>
    <row r="182" spans="1:66" ht="15.75" customHeight="1" outlineLevel="1">
      <c r="B182" s="731" t="s">
        <v>227</v>
      </c>
      <c r="C182" s="732"/>
      <c r="D182" s="873"/>
      <c r="E182" s="874"/>
      <c r="F182" s="873"/>
      <c r="G182" s="874"/>
      <c r="H182" s="887"/>
      <c r="I182" s="874"/>
      <c r="J182" s="873"/>
      <c r="K182" s="874"/>
      <c r="L182" s="873"/>
      <c r="M182" s="887"/>
      <c r="N182" s="874"/>
      <c r="O182" s="873"/>
      <c r="P182" s="874"/>
      <c r="Q182" s="873"/>
      <c r="R182" s="887"/>
      <c r="S182" s="199"/>
      <c r="T182" s="199"/>
      <c r="U182" s="138"/>
      <c r="V182" s="137"/>
      <c r="W182" s="682"/>
      <c r="X182" s="137"/>
      <c r="Y182" s="138"/>
      <c r="Z182" s="138"/>
      <c r="AA182" s="194"/>
      <c r="AB182" s="657"/>
      <c r="AC182" s="33"/>
      <c r="AD182" s="33"/>
      <c r="AE182" s="33"/>
      <c r="AF182" s="33"/>
      <c r="AG182" s="657"/>
      <c r="AH182" s="33"/>
      <c r="AI182" s="33"/>
      <c r="AJ182" s="33"/>
      <c r="AK182" s="934"/>
      <c r="AL182" s="657"/>
      <c r="AM182" s="68"/>
      <c r="AN182" s="68"/>
      <c r="AO182" s="68"/>
      <c r="AP182" s="68"/>
      <c r="AQ182" s="672"/>
    </row>
    <row r="183" spans="1:66" ht="15.75" customHeight="1" outlineLevel="1">
      <c r="B183" s="731" t="s">
        <v>155</v>
      </c>
      <c r="C183" s="732"/>
      <c r="D183" s="196">
        <v>19.471015000000001</v>
      </c>
      <c r="E183" s="197">
        <f>-62.200466-D183</f>
        <v>-81.671481</v>
      </c>
      <c r="F183" s="196">
        <f>-147.67868-SUM(D183:E183)</f>
        <v>-85.478214000000008</v>
      </c>
      <c r="G183" s="874">
        <f t="shared" ref="G183:G184" si="364">H183-SUM(D183:F183)</f>
        <v>275.43958300000003</v>
      </c>
      <c r="H183" s="888">
        <v>127.760903</v>
      </c>
      <c r="I183" s="197">
        <v>38.833765</v>
      </c>
      <c r="J183" s="196">
        <f>107.429486-I183</f>
        <v>68.595720999999998</v>
      </c>
      <c r="K183" s="197">
        <f>173.720473-SUM(I183:J183)</f>
        <v>66.290987000000001</v>
      </c>
      <c r="L183" s="873">
        <f t="shared" ref="L183:L186" si="365">M183-SUM(I183:K183)</f>
        <v>-203.884367</v>
      </c>
      <c r="M183" s="888">
        <v>-30.163893999999999</v>
      </c>
      <c r="N183" s="197">
        <v>244.07469599999999</v>
      </c>
      <c r="O183" s="196">
        <f>643.42776-N183</f>
        <v>399.35306400000002</v>
      </c>
      <c r="P183" s="197">
        <f>464.024176-SUM(N183:O183)</f>
        <v>-179.40358400000002</v>
      </c>
      <c r="Q183" s="873">
        <f t="shared" ref="Q183:Q186" si="366">R183-SUM(N183:P183)</f>
        <v>-88.250241000000017</v>
      </c>
      <c r="R183" s="888">
        <v>375.77393499999999</v>
      </c>
      <c r="S183" s="197">
        <v>63.939619</v>
      </c>
      <c r="T183" s="197">
        <f>2381.678885-S183</f>
        <v>2317.7392659999996</v>
      </c>
      <c r="U183" s="197">
        <f>-201.228905-SUM(S183:T183)</f>
        <v>-2582.9077899999997</v>
      </c>
      <c r="V183" s="137">
        <f t="shared" ref="V183:V186" si="367">W183-SUM(S183:U183)</f>
        <v>630.16547199999991</v>
      </c>
      <c r="W183" s="916">
        <v>428.93656700000003</v>
      </c>
      <c r="X183" s="137">
        <v>76.93638</v>
      </c>
      <c r="Y183" s="197">
        <f>-130.007307-X183</f>
        <v>-206.94368700000001</v>
      </c>
      <c r="Z183" s="196">
        <f>-194.891214-SUM(X183:Y183)</f>
        <v>-64.883906999999965</v>
      </c>
      <c r="AA183" s="194">
        <f t="shared" ref="AA183:AA184" si="368">AA99-Z99</f>
        <v>181.47904887306049</v>
      </c>
      <c r="AB183" s="923">
        <f>SUM(X183:AA183)</f>
        <v>-13.412165126939499</v>
      </c>
      <c r="AC183" s="194">
        <f t="shared" ref="AC183:AC184" si="369">AC99-AA99</f>
        <v>33.462008252055057</v>
      </c>
      <c r="AD183" s="194">
        <f t="shared" ref="AD183:AF183" si="370">AD99-AC99</f>
        <v>37.901369040152531</v>
      </c>
      <c r="AE183" s="194">
        <f t="shared" si="370"/>
        <v>18.163656488251263</v>
      </c>
      <c r="AF183" s="194">
        <f t="shared" si="370"/>
        <v>72.269998863980391</v>
      </c>
      <c r="AG183" s="923">
        <f>SUM(AC183:AF183)</f>
        <v>161.79703264443924</v>
      </c>
      <c r="AH183" s="194">
        <f t="shared" ref="AH183:AK183" si="371">AH99-AG99</f>
        <v>73.352369707862408</v>
      </c>
      <c r="AI183" s="194">
        <f t="shared" si="371"/>
        <v>43.082217387667242</v>
      </c>
      <c r="AJ183" s="194">
        <f t="shared" si="371"/>
        <v>20.646499511739421</v>
      </c>
      <c r="AK183" s="938">
        <f t="shared" si="371"/>
        <v>82.148795162675924</v>
      </c>
      <c r="AL183" s="923">
        <f>SUM(AH183:AK183)</f>
        <v>219.229881769945</v>
      </c>
      <c r="AM183" s="194">
        <f t="shared" ref="AM183:AP183" si="372">AM99-AL99</f>
        <v>83.379118424634953</v>
      </c>
      <c r="AN183" s="194">
        <f t="shared" si="372"/>
        <v>48.971250961195892</v>
      </c>
      <c r="AO183" s="194">
        <f t="shared" si="372"/>
        <v>23.468729567968467</v>
      </c>
      <c r="AP183" s="194">
        <f t="shared" si="372"/>
        <v>93.377952853998295</v>
      </c>
      <c r="AQ183" s="923">
        <f>SUM(AM183:AP183)</f>
        <v>249.19705180779761</v>
      </c>
    </row>
    <row r="184" spans="1:66" ht="15.75" customHeight="1" outlineLevel="1">
      <c r="B184" s="195" t="s">
        <v>156</v>
      </c>
      <c r="C184" s="201"/>
      <c r="D184" s="873"/>
      <c r="E184" s="874">
        <v>115.20414700000001</v>
      </c>
      <c r="F184" s="873">
        <v>-22.204146999999999</v>
      </c>
      <c r="G184" s="874">
        <f t="shared" si="364"/>
        <v>-337.80039799999997</v>
      </c>
      <c r="H184" s="888">
        <v>-244.800398</v>
      </c>
      <c r="I184" s="197">
        <v>725.512337</v>
      </c>
      <c r="J184" s="196">
        <f>13.76932-I184</f>
        <v>-711.74301700000001</v>
      </c>
      <c r="K184" s="197">
        <f>22.54868-SUM(I184:J184)</f>
        <v>8.7793600000000076</v>
      </c>
      <c r="L184" s="873">
        <f t="shared" si="365"/>
        <v>174.37178300000002</v>
      </c>
      <c r="M184" s="888">
        <v>196.92046300000001</v>
      </c>
      <c r="N184" s="197">
        <v>337.40695399999998</v>
      </c>
      <c r="O184" s="196">
        <f>190.891353-N184</f>
        <v>-146.51560099999998</v>
      </c>
      <c r="P184" s="197">
        <f>426.07788-SUM(N184:O184)</f>
        <v>235.18652699999998</v>
      </c>
      <c r="Q184" s="873">
        <f t="shared" si="366"/>
        <v>-136.55625199999997</v>
      </c>
      <c r="R184" s="888">
        <v>289.52162800000002</v>
      </c>
      <c r="S184" s="197">
        <v>30.135612999999999</v>
      </c>
      <c r="T184" s="197">
        <f>8.614-S184</f>
        <v>-21.521612999999999</v>
      </c>
      <c r="U184" s="197">
        <f>-172.465954-SUM(S184:T184)</f>
        <v>-181.07995400000001</v>
      </c>
      <c r="V184" s="137">
        <f t="shared" si="367"/>
        <v>116.62535600000001</v>
      </c>
      <c r="W184" s="916">
        <v>-55.840598</v>
      </c>
      <c r="X184" s="137">
        <v>1193.0029999999999</v>
      </c>
      <c r="Y184" s="197">
        <f>251.0306569-X184</f>
        <v>-941.97234309999999</v>
      </c>
      <c r="Z184" s="196">
        <f>240.044548-SUM(X184:Y184)</f>
        <v>-10.986108899999948</v>
      </c>
      <c r="AA184" s="194">
        <f t="shared" si="368"/>
        <v>-946.21674966625596</v>
      </c>
      <c r="AB184" s="657">
        <f>SUM(X184:AA184)</f>
        <v>-706.172201666256</v>
      </c>
      <c r="AC184" s="33">
        <f t="shared" si="369"/>
        <v>1805.7246933935703</v>
      </c>
      <c r="AD184" s="33">
        <f t="shared" ref="AD184:AF184" si="373">AD100-AB100</f>
        <v>5860.4142946691472</v>
      </c>
      <c r="AE184" s="33">
        <f t="shared" si="373"/>
        <v>4127.5686571878969</v>
      </c>
      <c r="AF184" s="33">
        <f t="shared" si="373"/>
        <v>-5263.5731591443709</v>
      </c>
      <c r="AG184" s="657">
        <f>SUM(AC184:AF184)</f>
        <v>6530.1344861062444</v>
      </c>
      <c r="AH184" s="33">
        <f t="shared" ref="AH184:AK184" si="374">AH100-AF100</f>
        <v>-1252.7911820889019</v>
      </c>
      <c r="AI184" s="33">
        <f t="shared" si="374"/>
        <v>66.490127646089377</v>
      </c>
      <c r="AJ184" s="33">
        <f t="shared" si="374"/>
        <v>1358.0697994352686</v>
      </c>
      <c r="AK184" s="934">
        <f t="shared" si="374"/>
        <v>-1400.7182908334587</v>
      </c>
      <c r="AL184" s="657">
        <f t="shared" ref="AL184:AL186" si="375">SUM(AH184:AK184)</f>
        <v>-1228.9495458410026</v>
      </c>
      <c r="AM184" s="33">
        <f>AM100-AK100</f>
        <v>-333.38712511256369</v>
      </c>
      <c r="AN184" s="33">
        <f t="shared" ref="AN184:AP184" si="376">AN100-AM100</f>
        <v>702.16235451771342</v>
      </c>
      <c r="AO184" s="33">
        <f t="shared" si="376"/>
        <v>-691.84013701369884</v>
      </c>
      <c r="AP184" s="33">
        <f t="shared" si="376"/>
        <v>-63.987717423210768</v>
      </c>
      <c r="AQ184" s="671">
        <f>SUM(AM184:AP184)</f>
        <v>-387.05262503175987</v>
      </c>
      <c r="AR184" s="68"/>
      <c r="AS184" s="68"/>
    </row>
    <row r="185" spans="1:66" ht="15.75" customHeight="1" outlineLevel="1">
      <c r="B185" s="195" t="s">
        <v>160</v>
      </c>
      <c r="C185" s="201"/>
      <c r="D185" s="873"/>
      <c r="E185" s="874">
        <v>409.556038</v>
      </c>
      <c r="F185" s="196">
        <v>-409.556038</v>
      </c>
      <c r="G185" s="874"/>
      <c r="H185" s="887"/>
      <c r="I185" s="874"/>
      <c r="J185" s="196">
        <f>512.589452-I185</f>
        <v>512.58945200000005</v>
      </c>
      <c r="K185" s="197">
        <f>125.861419-SUM(I185:J185)</f>
        <v>-386.72803300000004</v>
      </c>
      <c r="L185" s="873">
        <f t="shared" si="365"/>
        <v>212.96838199999996</v>
      </c>
      <c r="M185" s="888">
        <v>338.82980099999997</v>
      </c>
      <c r="N185" s="197">
        <v>541.43735100000004</v>
      </c>
      <c r="O185" s="196">
        <f>851.241657-N185</f>
        <v>309.804306</v>
      </c>
      <c r="P185" s="874">
        <f>450.461199-SUM(N185:O185)</f>
        <v>-400.78045800000001</v>
      </c>
      <c r="Q185" s="873">
        <f t="shared" si="366"/>
        <v>-1005.8705190000001</v>
      </c>
      <c r="R185" s="888">
        <v>-555.40931999999998</v>
      </c>
      <c r="S185" s="197">
        <v>573.36801200000002</v>
      </c>
      <c r="T185" s="197">
        <f>689.370288-S185</f>
        <v>116.00227599999994</v>
      </c>
      <c r="U185" s="197">
        <f>873.119542-SUM(S185:T185)</f>
        <v>183.74925400000006</v>
      </c>
      <c r="V185" s="137">
        <f t="shared" si="367"/>
        <v>-316.94919000000004</v>
      </c>
      <c r="W185" s="916">
        <v>556.17035199999998</v>
      </c>
      <c r="X185" s="137">
        <v>167.6825</v>
      </c>
      <c r="Y185" s="197">
        <f>362.688487-X185</f>
        <v>195.005987</v>
      </c>
      <c r="Z185" s="196">
        <f>724.842825-SUM(X185:Y185)</f>
        <v>362.15433799999994</v>
      </c>
      <c r="AA185" s="194">
        <f t="shared" ref="AA185:AA186" si="377">AA104-Z104</f>
        <v>-377.36003122030206</v>
      </c>
      <c r="AB185" s="657">
        <f t="shared" ref="AB185:AB186" si="378">SUM(X185:AA185)</f>
        <v>347.48279377969789</v>
      </c>
      <c r="AC185" s="33">
        <f t="shared" ref="AC185:AF185" si="379">AC104-AB104</f>
        <v>437.12167320732033</v>
      </c>
      <c r="AD185" s="33">
        <f t="shared" si="379"/>
        <v>282.78564979456382</v>
      </c>
      <c r="AE185" s="33">
        <f t="shared" si="379"/>
        <v>-61.317281242296531</v>
      </c>
      <c r="AF185" s="33">
        <f t="shared" si="379"/>
        <v>-442.18465991627795</v>
      </c>
      <c r="AG185" s="657">
        <f t="shared" ref="AG185:AG186" si="380">SUM(AC185:AF185)</f>
        <v>216.40538184330967</v>
      </c>
      <c r="AH185" s="33">
        <f t="shared" ref="AH185:AK185" si="381">AH104-AG104</f>
        <v>512.21242955741604</v>
      </c>
      <c r="AI185" s="33">
        <f t="shared" si="381"/>
        <v>331.36385954614434</v>
      </c>
      <c r="AJ185" s="33">
        <f t="shared" si="381"/>
        <v>-71.850643708704865</v>
      </c>
      <c r="AK185" s="934">
        <f t="shared" si="381"/>
        <v>-518.14515923422209</v>
      </c>
      <c r="AL185" s="657">
        <f t="shared" si="375"/>
        <v>253.58048616063343</v>
      </c>
      <c r="AM185" s="144">
        <f t="shared" ref="AM185:AP185" si="382">AM104-AL104</f>
        <v>600.20261879963277</v>
      </c>
      <c r="AN185" s="144">
        <f t="shared" si="382"/>
        <v>388.28705591349899</v>
      </c>
      <c r="AO185" s="144">
        <f t="shared" si="382"/>
        <v>-84.193475261165986</v>
      </c>
      <c r="AP185" s="144">
        <f t="shared" si="382"/>
        <v>-607.15449986141425</v>
      </c>
      <c r="AQ185" s="694">
        <f>SUM(AM185:AP185)</f>
        <v>297.14169959055153</v>
      </c>
    </row>
    <row r="186" spans="1:66" ht="15.75" customHeight="1" outlineLevel="1">
      <c r="B186" s="195" t="s">
        <v>228</v>
      </c>
      <c r="C186" s="201"/>
      <c r="D186" s="196">
        <v>-103.433423</v>
      </c>
      <c r="E186" s="197">
        <f>-71.95359-D186</f>
        <v>31.479832999999999</v>
      </c>
      <c r="F186" s="873">
        <f>-65.349161-SUM(D186:E186)</f>
        <v>6.6044290000000103</v>
      </c>
      <c r="G186" s="874">
        <f>H186-SUM(D186:F186)</f>
        <v>119.39979599999999</v>
      </c>
      <c r="H186" s="888">
        <v>54.050635</v>
      </c>
      <c r="I186" s="197">
        <v>-95.324803000000003</v>
      </c>
      <c r="J186" s="196">
        <f>-75.206696-I186</f>
        <v>20.118107000000009</v>
      </c>
      <c r="K186" s="197">
        <f>-92.737095-SUM(I186:J186)</f>
        <v>-17.530399000000003</v>
      </c>
      <c r="L186" s="873">
        <f t="shared" si="365"/>
        <v>90.490122999999997</v>
      </c>
      <c r="M186" s="888">
        <v>-2.246972</v>
      </c>
      <c r="N186" s="197">
        <v>-136.954736</v>
      </c>
      <c r="O186" s="196">
        <f>-74.130783-N186</f>
        <v>62.823953000000003</v>
      </c>
      <c r="P186" s="197">
        <f>-0.671589-SUM(N186:O186)</f>
        <v>73.459193999999997</v>
      </c>
      <c r="Q186" s="873">
        <f t="shared" si="366"/>
        <v>35.591214000000001</v>
      </c>
      <c r="R186" s="888">
        <v>34.919625000000003</v>
      </c>
      <c r="S186" s="197">
        <v>-133.60850600000001</v>
      </c>
      <c r="T186" s="197">
        <f>150.763002-S186</f>
        <v>284.37150800000001</v>
      </c>
      <c r="U186" s="197">
        <f>-63.423709-SUM(S186:T186)</f>
        <v>-214.186711</v>
      </c>
      <c r="V186" s="137">
        <f t="shared" si="367"/>
        <v>134.495249</v>
      </c>
      <c r="W186" s="916">
        <v>71.071539999999999</v>
      </c>
      <c r="X186" s="137">
        <v>-40.007899999999999</v>
      </c>
      <c r="Y186" s="197">
        <f>-25.566606-X186</f>
        <v>14.441293999999999</v>
      </c>
      <c r="Z186" s="196">
        <f>-31.97691-SUM(X186:Y186)</f>
        <v>-6.410304</v>
      </c>
      <c r="AA186" s="194">
        <f t="shared" si="377"/>
        <v>225.0297757701662</v>
      </c>
      <c r="AB186" s="923">
        <f t="shared" si="378"/>
        <v>193.05286577016619</v>
      </c>
      <c r="AC186" s="33">
        <f t="shared" ref="AC186:AF186" si="383">AC105-AB105</f>
        <v>-66.938888415318729</v>
      </c>
      <c r="AD186" s="33">
        <f t="shared" si="383"/>
        <v>24.162302192676862</v>
      </c>
      <c r="AE186" s="33">
        <f t="shared" si="383"/>
        <v>-10.725354854271473</v>
      </c>
      <c r="AF186" s="33">
        <f t="shared" si="383"/>
        <v>376.50697968648154</v>
      </c>
      <c r="AG186" s="657">
        <f t="shared" si="380"/>
        <v>323.0050386095682</v>
      </c>
      <c r="AH186" s="33">
        <f t="shared" ref="AH186:AK186" si="384">AH105-AG105</f>
        <v>-111.99832828595572</v>
      </c>
      <c r="AI186" s="33">
        <f t="shared" si="384"/>
        <v>40.426985227627483</v>
      </c>
      <c r="AJ186" s="33">
        <f t="shared" si="384"/>
        <v>-17.945051708943083</v>
      </c>
      <c r="AK186" s="934">
        <f t="shared" si="384"/>
        <v>629.94999336185799</v>
      </c>
      <c r="AL186" s="657">
        <f t="shared" si="375"/>
        <v>540.43359859458667</v>
      </c>
      <c r="AM186" s="140">
        <f t="shared" ref="AM186:AP186" si="385">AM105-AL105</f>
        <v>-187.38921179901354</v>
      </c>
      <c r="AN186" s="140">
        <f t="shared" si="385"/>
        <v>67.640124751446137</v>
      </c>
      <c r="AO186" s="140">
        <f t="shared" si="385"/>
        <v>-30.024636500338374</v>
      </c>
      <c r="AP186" s="140">
        <f t="shared" si="385"/>
        <v>1053.9963813341581</v>
      </c>
      <c r="AQ186" s="693">
        <f>SUM(AM186:AP186)</f>
        <v>904.22265778625228</v>
      </c>
    </row>
    <row r="187" spans="1:66" ht="15.75" customHeight="1" outlineLevel="1">
      <c r="B187" s="731" t="s">
        <v>229</v>
      </c>
      <c r="C187" s="732"/>
      <c r="D187" s="873"/>
      <c r="E187" s="874"/>
      <c r="F187" s="873"/>
      <c r="G187" s="874"/>
      <c r="H187" s="887"/>
      <c r="I187" s="874"/>
      <c r="J187" s="873"/>
      <c r="K187" s="874"/>
      <c r="L187" s="873"/>
      <c r="M187" s="887"/>
      <c r="N187" s="874"/>
      <c r="O187" s="873"/>
      <c r="P187" s="874"/>
      <c r="Q187" s="873"/>
      <c r="R187" s="887"/>
      <c r="S187" s="199"/>
      <c r="T187" s="199"/>
      <c r="U187" s="137"/>
      <c r="V187" s="137"/>
      <c r="W187" s="913"/>
      <c r="X187" s="137"/>
      <c r="Y187" s="137"/>
      <c r="Z187" s="137"/>
      <c r="AA187" s="137" t="s">
        <v>84</v>
      </c>
      <c r="AB187" s="913" t="s">
        <v>84</v>
      </c>
      <c r="AC187" s="137" t="s">
        <v>84</v>
      </c>
      <c r="AD187" s="137" t="s">
        <v>84</v>
      </c>
      <c r="AE187" s="137" t="s">
        <v>84</v>
      </c>
      <c r="AF187" s="137" t="s">
        <v>84</v>
      </c>
      <c r="AG187" s="913" t="s">
        <v>84</v>
      </c>
      <c r="AH187" s="137" t="s">
        <v>84</v>
      </c>
      <c r="AI187" s="137" t="s">
        <v>84</v>
      </c>
      <c r="AJ187" s="137" t="s">
        <v>84</v>
      </c>
      <c r="AK187" s="935" t="s">
        <v>84</v>
      </c>
      <c r="AL187" s="913" t="s">
        <v>84</v>
      </c>
      <c r="AM187" s="137" t="s">
        <v>84</v>
      </c>
      <c r="AN187" s="137" t="s">
        <v>84</v>
      </c>
      <c r="AO187" s="137" t="s">
        <v>84</v>
      </c>
      <c r="AP187" s="137" t="s">
        <v>84</v>
      </c>
      <c r="AQ187" s="913" t="s">
        <v>84</v>
      </c>
    </row>
    <row r="188" spans="1:66" ht="15.75" customHeight="1" outlineLevel="1">
      <c r="B188" s="731" t="s">
        <v>230</v>
      </c>
      <c r="C188" s="732"/>
      <c r="D188" s="196">
        <v>500.50055500000002</v>
      </c>
      <c r="E188" s="210">
        <v>-500.50055500000002</v>
      </c>
      <c r="F188" s="196"/>
      <c r="G188" s="874"/>
      <c r="H188" s="887"/>
      <c r="I188" s="874"/>
      <c r="J188" s="873"/>
      <c r="K188" s="874"/>
      <c r="L188" s="873"/>
      <c r="M188" s="887"/>
      <c r="N188" s="874"/>
      <c r="O188" s="873"/>
      <c r="P188" s="874"/>
      <c r="Q188" s="873"/>
      <c r="R188" s="887"/>
      <c r="S188" s="199"/>
      <c r="T188" s="199"/>
      <c r="U188" s="137"/>
      <c r="V188" s="137"/>
      <c r="W188" s="913"/>
      <c r="X188" s="137"/>
      <c r="Y188" s="137"/>
      <c r="Z188" s="137"/>
      <c r="AA188" s="137" t="s">
        <v>84</v>
      </c>
      <c r="AB188" s="913" t="s">
        <v>84</v>
      </c>
      <c r="AC188" s="137" t="s">
        <v>84</v>
      </c>
      <c r="AD188" s="137" t="s">
        <v>84</v>
      </c>
      <c r="AE188" s="137" t="s">
        <v>84</v>
      </c>
      <c r="AF188" s="137" t="s">
        <v>84</v>
      </c>
      <c r="AG188" s="913" t="s">
        <v>84</v>
      </c>
      <c r="AH188" s="137" t="s">
        <v>84</v>
      </c>
      <c r="AI188" s="137" t="s">
        <v>84</v>
      </c>
      <c r="AJ188" s="137" t="s">
        <v>84</v>
      </c>
      <c r="AK188" s="935" t="s">
        <v>84</v>
      </c>
      <c r="AL188" s="913" t="s">
        <v>84</v>
      </c>
      <c r="AM188" s="137" t="s">
        <v>84</v>
      </c>
      <c r="AN188" s="137" t="s">
        <v>84</v>
      </c>
      <c r="AO188" s="137" t="s">
        <v>84</v>
      </c>
      <c r="AP188" s="137" t="s">
        <v>84</v>
      </c>
      <c r="AQ188" s="913" t="s">
        <v>84</v>
      </c>
    </row>
    <row r="189" spans="1:66" ht="15.75" customHeight="1" outlineLevel="1">
      <c r="A189" s="215"/>
      <c r="B189" s="772" t="s">
        <v>231</v>
      </c>
      <c r="C189" s="773"/>
      <c r="D189" s="216">
        <f t="shared" ref="D189:H189" si="386">D160+SUM(D162:D188)</f>
        <v>2929.6911250000003</v>
      </c>
      <c r="E189" s="217">
        <f t="shared" si="386"/>
        <v>3519.5417969999999</v>
      </c>
      <c r="F189" s="216">
        <f t="shared" si="386"/>
        <v>1883.6130810000006</v>
      </c>
      <c r="G189" s="217">
        <f t="shared" si="386"/>
        <v>2688.2281239999993</v>
      </c>
      <c r="H189" s="889">
        <f t="shared" si="386"/>
        <v>11021.074127</v>
      </c>
      <c r="I189" s="217">
        <f t="shared" ref="I189:K189" si="387">SUM(I159:I188)</f>
        <v>5857.155984</v>
      </c>
      <c r="J189" s="216">
        <f t="shared" si="387"/>
        <v>3798.6523079999997</v>
      </c>
      <c r="K189" s="217">
        <f t="shared" si="387"/>
        <v>2637.0367530000008</v>
      </c>
      <c r="L189" s="873">
        <f>M189-SUM(I189:K189)</f>
        <v>581.84652599999936</v>
      </c>
      <c r="M189" s="902">
        <f>SUM(M160:M188)</f>
        <v>12874.691570999999</v>
      </c>
      <c r="N189" s="876">
        <f t="shared" ref="N189:P189" si="388">SUM(N159:N188)</f>
        <v>5204.5772269999998</v>
      </c>
      <c r="O189" s="875">
        <f t="shared" si="388"/>
        <v>2170.5152420000004</v>
      </c>
      <c r="P189" s="876">
        <f t="shared" si="388"/>
        <v>2332.2183</v>
      </c>
      <c r="Q189" s="873">
        <f>R189-SUM(N189:P189)</f>
        <v>-1161.6964420000004</v>
      </c>
      <c r="R189" s="902">
        <f t="shared" ref="R189:U189" si="389">SUM(R159:R188)</f>
        <v>8545.6143269999993</v>
      </c>
      <c r="S189" s="208">
        <f t="shared" si="389"/>
        <v>8459.4557540000005</v>
      </c>
      <c r="T189" s="208">
        <f t="shared" si="389"/>
        <v>4281.1242679999996</v>
      </c>
      <c r="U189" s="208">
        <f t="shared" si="389"/>
        <v>2613.5786480000029</v>
      </c>
      <c r="V189" s="218">
        <f>W189-SUM(S189:U189)</f>
        <v>3174.6956249999985</v>
      </c>
      <c r="W189" s="917">
        <v>18528.854295000001</v>
      </c>
      <c r="X189" s="216">
        <f t="shared" ref="X189:Z189" si="390">SUM(X159:X188)</f>
        <v>3448.1328810000027</v>
      </c>
      <c r="Y189" s="217">
        <f t="shared" si="390"/>
        <v>3887.375867899998</v>
      </c>
      <c r="Z189" s="217">
        <f t="shared" si="390"/>
        <v>3212.6944941000011</v>
      </c>
      <c r="AA189" s="208">
        <f t="shared" ref="AA189:AQ189" si="391">AA160+SUM(AA162:AA188)</f>
        <v>12548.299063534867</v>
      </c>
      <c r="AB189" s="924">
        <f t="shared" si="391"/>
        <v>23096.502306534861</v>
      </c>
      <c r="AC189" s="208">
        <f t="shared" si="391"/>
        <v>-7765.5056738235116</v>
      </c>
      <c r="AD189" s="208">
        <f t="shared" si="391"/>
        <v>27098.138465777964</v>
      </c>
      <c r="AE189" s="208">
        <f t="shared" si="391"/>
        <v>-921.83872239587254</v>
      </c>
      <c r="AF189" s="208">
        <f t="shared" si="391"/>
        <v>13255.562578102577</v>
      </c>
      <c r="AG189" s="924">
        <f t="shared" si="391"/>
        <v>31666.356647661156</v>
      </c>
      <c r="AH189" s="208">
        <f t="shared" si="391"/>
        <v>-13279.36395782233</v>
      </c>
      <c r="AI189" s="208">
        <f t="shared" si="391"/>
        <v>27822.067315248722</v>
      </c>
      <c r="AJ189" s="208">
        <f t="shared" si="391"/>
        <v>-11644.694355178239</v>
      </c>
      <c r="AK189" s="939">
        <f t="shared" si="391"/>
        <v>29564.423048841865</v>
      </c>
      <c r="AL189" s="924">
        <f t="shared" si="391"/>
        <v>32462.432051090014</v>
      </c>
      <c r="AM189" s="208">
        <f t="shared" si="391"/>
        <v>-20606.405921396043</v>
      </c>
      <c r="AN189" s="208">
        <f t="shared" si="391"/>
        <v>19501.941786981824</v>
      </c>
      <c r="AO189" s="208">
        <f t="shared" si="391"/>
        <v>2323.066989198629</v>
      </c>
      <c r="AP189" s="208">
        <f t="shared" si="391"/>
        <v>17863.385235558944</v>
      </c>
      <c r="AQ189" s="924">
        <f t="shared" si="391"/>
        <v>19081.98809034334</v>
      </c>
      <c r="AR189" s="215"/>
      <c r="AS189" s="215"/>
      <c r="AT189" s="215"/>
      <c r="AU189" s="215"/>
      <c r="AV189" s="215"/>
      <c r="AW189" s="215"/>
      <c r="AX189" s="215"/>
      <c r="AY189" s="215"/>
      <c r="AZ189" s="215"/>
      <c r="BA189" s="215"/>
      <c r="BB189" s="215"/>
      <c r="BC189" s="215"/>
      <c r="BD189" s="215"/>
      <c r="BE189" s="215"/>
      <c r="BF189" s="215"/>
      <c r="BG189" s="215"/>
      <c r="BH189" s="215"/>
      <c r="BI189" s="215"/>
      <c r="BJ189" s="215"/>
      <c r="BK189" s="215"/>
      <c r="BL189" s="215"/>
      <c r="BM189" s="215"/>
      <c r="BN189" s="215"/>
    </row>
    <row r="190" spans="1:66" ht="15.75" customHeight="1" outlineLevel="1">
      <c r="B190" s="765"/>
      <c r="C190" s="736"/>
      <c r="D190" s="881"/>
      <c r="E190" s="881"/>
      <c r="F190" s="881"/>
      <c r="G190" s="881"/>
      <c r="H190" s="890"/>
      <c r="I190" s="882"/>
      <c r="J190" s="882"/>
      <c r="K190" s="882"/>
      <c r="L190" s="873"/>
      <c r="M190" s="903"/>
      <c r="N190" s="882"/>
      <c r="O190" s="882"/>
      <c r="P190" s="882"/>
      <c r="Q190" s="873"/>
      <c r="R190" s="890"/>
      <c r="S190" s="220"/>
      <c r="T190" s="220"/>
      <c r="U190" s="220"/>
      <c r="V190" s="137"/>
      <c r="W190" s="918"/>
      <c r="X190" s="220"/>
      <c r="Y190" s="220"/>
      <c r="Z190" s="220"/>
      <c r="AA190" s="199"/>
      <c r="AB190" s="922"/>
      <c r="AC190" s="33"/>
      <c r="AD190" s="33"/>
      <c r="AE190" s="33"/>
      <c r="AF190" s="33"/>
      <c r="AG190" s="657"/>
      <c r="AH190" s="33"/>
      <c r="AI190" s="33"/>
      <c r="AJ190" s="33"/>
      <c r="AK190" s="934"/>
      <c r="AL190" s="657"/>
      <c r="AM190" s="68"/>
      <c r="AN190" s="68"/>
      <c r="AO190" s="68"/>
      <c r="AP190" s="68"/>
      <c r="AQ190" s="672"/>
    </row>
    <row r="191" spans="1:66" ht="15.75" customHeight="1" outlineLevel="1">
      <c r="B191" s="774" t="s">
        <v>232</v>
      </c>
      <c r="C191" s="736"/>
      <c r="D191" s="881"/>
      <c r="E191" s="881"/>
      <c r="F191" s="881"/>
      <c r="G191" s="881"/>
      <c r="H191" s="890"/>
      <c r="I191" s="882"/>
      <c r="J191" s="882"/>
      <c r="K191" s="882"/>
      <c r="L191" s="873"/>
      <c r="M191" s="903"/>
      <c r="N191" s="882"/>
      <c r="O191" s="882"/>
      <c r="P191" s="882"/>
      <c r="Q191" s="873"/>
      <c r="R191" s="890"/>
      <c r="S191" s="220"/>
      <c r="T191" s="220"/>
      <c r="U191" s="220"/>
      <c r="V191" s="137"/>
      <c r="W191" s="918"/>
      <c r="X191" s="220"/>
      <c r="Y191" s="220"/>
      <c r="Z191" s="220"/>
      <c r="AA191" s="194"/>
      <c r="AB191" s="657"/>
      <c r="AC191" s="33"/>
      <c r="AD191" s="33"/>
      <c r="AE191" s="33"/>
      <c r="AF191" s="33"/>
      <c r="AG191" s="657"/>
      <c r="AH191" s="33"/>
      <c r="AI191" s="33"/>
      <c r="AJ191" s="33"/>
      <c r="AK191" s="934"/>
      <c r="AL191" s="657"/>
      <c r="AM191" s="68"/>
      <c r="AN191" s="68"/>
      <c r="AO191" s="68"/>
      <c r="AP191" s="68"/>
      <c r="AQ191" s="672"/>
    </row>
    <row r="192" spans="1:66" ht="15.75" customHeight="1" outlineLevel="1">
      <c r="B192" s="845" t="s">
        <v>233</v>
      </c>
      <c r="C192" s="846"/>
      <c r="D192" s="880">
        <v>-803.48345300000005</v>
      </c>
      <c r="E192" s="880">
        <v>-817.48398899999995</v>
      </c>
      <c r="F192" s="880">
        <v>-948.15146400000003</v>
      </c>
      <c r="G192" s="880">
        <v>-1229.1961470000001</v>
      </c>
      <c r="H192" s="888">
        <v>-3798.3150529999998</v>
      </c>
      <c r="I192" s="197">
        <v>-1883.9853330000001</v>
      </c>
      <c r="J192" s="196">
        <f>-3698.122303-I192</f>
        <v>-1814.13697</v>
      </c>
      <c r="K192" s="197">
        <f>-5169.843256-SUM(I192:J192)</f>
        <v>-1471.720953</v>
      </c>
      <c r="L192" s="873">
        <f>M192-SUM(I192:K192)</f>
        <v>-1013.3480389999995</v>
      </c>
      <c r="M192" s="888">
        <v>-6183.1912949999996</v>
      </c>
      <c r="N192" s="197">
        <v>-1063.6913959999999</v>
      </c>
      <c r="O192" s="196">
        <f>-1856.522127-N192</f>
        <v>-792.83073100000001</v>
      </c>
      <c r="P192" s="197">
        <f>-2330.054327-SUM(N192:O192)</f>
        <v>-473.53219999999988</v>
      </c>
      <c r="Q192" s="873">
        <f>R192-SUM(N192:P192)</f>
        <v>-494.19369200000028</v>
      </c>
      <c r="R192" s="888">
        <v>-2824.2480190000001</v>
      </c>
      <c r="S192" s="137">
        <v>-419.96951999999999</v>
      </c>
      <c r="T192" s="197">
        <f>-854.972553-S192</f>
        <v>-435.00303299999996</v>
      </c>
      <c r="U192" s="197">
        <f>-3359.11464-SUM(S192:T192)</f>
        <v>-2504.1420869999997</v>
      </c>
      <c r="V192" s="137">
        <f>W192-SUM(S192:U192)</f>
        <v>-822.17774400000053</v>
      </c>
      <c r="W192" s="681">
        <v>-4181.2923840000003</v>
      </c>
      <c r="X192" s="137">
        <v>-1651.4525000000001</v>
      </c>
      <c r="Y192" s="197">
        <f>-3467.778772-X192</f>
        <v>-1816.326272</v>
      </c>
      <c r="Z192" s="197">
        <f>-4707.888954-SUM(X192:Y192)</f>
        <v>-1240.1101819999999</v>
      </c>
      <c r="AA192" s="194">
        <f>Z192*(1+AA239)</f>
        <v>-1277.1746208072564</v>
      </c>
      <c r="AB192" s="657">
        <f>SUM(X192:AA192)</f>
        <v>-5985.0635748072564</v>
      </c>
      <c r="AC192" s="33">
        <f>AA192*(1+AC239)</f>
        <v>-1539.3507886407585</v>
      </c>
      <c r="AD192" s="33">
        <f t="shared" ref="AD192:AF192" si="392">AC192*(1+AD239)</f>
        <v>-1546.1852248909534</v>
      </c>
      <c r="AE192" s="33">
        <f t="shared" si="392"/>
        <v>-1516.1751124880402</v>
      </c>
      <c r="AF192" s="33">
        <f t="shared" si="392"/>
        <v>-1599.6393978304056</v>
      </c>
      <c r="AG192" s="657">
        <f>SUM(AC192:AF192)</f>
        <v>-6201.3505238501584</v>
      </c>
      <c r="AH192" s="33">
        <f>AF192*(1+AH239)</f>
        <v>-1697.7605473293427</v>
      </c>
      <c r="AI192" s="33">
        <f t="shared" ref="AI192:AK192" si="393">AH192*(1+AI239)</f>
        <v>-1740.8070398473476</v>
      </c>
      <c r="AJ192" s="33">
        <f t="shared" si="393"/>
        <v>-1794.0472367998088</v>
      </c>
      <c r="AK192" s="934">
        <f t="shared" si="393"/>
        <v>-1871.3380557391051</v>
      </c>
      <c r="AL192" s="657">
        <f>SUM(AH192:AK192)</f>
        <v>-7103.9528797156036</v>
      </c>
      <c r="AM192" s="33">
        <f>AK192*(1+AM239)</f>
        <v>-1946.359932059722</v>
      </c>
      <c r="AN192" s="33">
        <f t="shared" ref="AN192:AP192" si="394">AM192*(1+AN239)</f>
        <v>-2014.0496007661104</v>
      </c>
      <c r="AO192" s="33">
        <f t="shared" si="394"/>
        <v>-2088.8377995517149</v>
      </c>
      <c r="AP192" s="33">
        <f t="shared" si="394"/>
        <v>-2169.8233985787429</v>
      </c>
      <c r="AQ192" s="671">
        <f>SUM(AM192:AP192)</f>
        <v>-8219.0707309562895</v>
      </c>
    </row>
    <row r="193" spans="1:43" ht="15.75" customHeight="1" outlineLevel="1">
      <c r="B193" s="845" t="s">
        <v>234</v>
      </c>
      <c r="C193" s="846"/>
      <c r="D193" s="880">
        <v>-2.0711E-2</v>
      </c>
      <c r="E193" s="880">
        <v>-0.103035</v>
      </c>
      <c r="F193" s="880">
        <v>-16.166606999999999</v>
      </c>
      <c r="G193" s="880">
        <v>16.290353</v>
      </c>
      <c r="H193" s="890"/>
      <c r="I193" s="882"/>
      <c r="J193" s="882"/>
      <c r="K193" s="882"/>
      <c r="L193" s="873"/>
      <c r="M193" s="903"/>
      <c r="N193" s="882"/>
      <c r="O193" s="882"/>
      <c r="P193" s="882"/>
      <c r="Q193" s="873"/>
      <c r="R193" s="903"/>
      <c r="S193" s="220"/>
      <c r="T193" s="220"/>
      <c r="U193" s="220"/>
      <c r="V193" s="137"/>
      <c r="W193" s="918"/>
      <c r="X193" s="220"/>
      <c r="Y193" s="220"/>
      <c r="Z193" s="220"/>
      <c r="AA193" s="220" t="s">
        <v>84</v>
      </c>
      <c r="AB193" s="925" t="s">
        <v>84</v>
      </c>
      <c r="AC193" s="220" t="s">
        <v>84</v>
      </c>
      <c r="AD193" s="220" t="s">
        <v>84</v>
      </c>
      <c r="AE193" s="220" t="s">
        <v>84</v>
      </c>
      <c r="AF193" s="220" t="s">
        <v>84</v>
      </c>
      <c r="AG193" s="925" t="s">
        <v>84</v>
      </c>
      <c r="AH193" s="220" t="s">
        <v>84</v>
      </c>
      <c r="AI193" s="220" t="s">
        <v>84</v>
      </c>
      <c r="AJ193" s="220" t="s">
        <v>84</v>
      </c>
      <c r="AK193" s="940" t="s">
        <v>84</v>
      </c>
      <c r="AL193" s="925" t="s">
        <v>84</v>
      </c>
      <c r="AM193" s="220" t="s">
        <v>84</v>
      </c>
      <c r="AN193" s="220" t="s">
        <v>84</v>
      </c>
      <c r="AO193" s="220" t="s">
        <v>84</v>
      </c>
      <c r="AP193" s="220" t="s">
        <v>84</v>
      </c>
      <c r="AQ193" s="925" t="s">
        <v>84</v>
      </c>
    </row>
    <row r="194" spans="1:43" ht="15.75" customHeight="1" outlineLevel="1">
      <c r="B194" s="845" t="s">
        <v>235</v>
      </c>
      <c r="C194" s="846"/>
      <c r="D194" s="881"/>
      <c r="E194" s="881"/>
      <c r="F194" s="881"/>
      <c r="G194" s="881"/>
      <c r="H194" s="890"/>
      <c r="I194" s="882"/>
      <c r="J194" s="882"/>
      <c r="K194" s="882"/>
      <c r="L194" s="873">
        <f>M194-SUM(I194:K194)</f>
        <v>213.33981199999999</v>
      </c>
      <c r="M194" s="888">
        <v>213.33981199999999</v>
      </c>
      <c r="N194" s="197">
        <v>-65.230962000000005</v>
      </c>
      <c r="O194" s="196">
        <f>-155.298352-N194</f>
        <v>-90.067389999999989</v>
      </c>
      <c r="P194" s="197">
        <f>-209.205845-SUM(N194:O194)</f>
        <v>-53.907493000000017</v>
      </c>
      <c r="Q194" s="873">
        <f>R194-SUM(N194:P194)</f>
        <v>-51.492199999999968</v>
      </c>
      <c r="R194" s="888">
        <v>-260.69804499999998</v>
      </c>
      <c r="S194" s="137">
        <v>-1899.892308</v>
      </c>
      <c r="T194" s="197">
        <f>-3774.550312-S194</f>
        <v>-1874.6580039999999</v>
      </c>
      <c r="U194" s="197">
        <f>-5086.542279-SUM(S194:T194)</f>
        <v>-1311.9919670000004</v>
      </c>
      <c r="V194" s="137">
        <f>W194-SUM(S194:U194)</f>
        <v>-745.77922799999942</v>
      </c>
      <c r="W194" s="681">
        <v>-5832.3215069999997</v>
      </c>
      <c r="X194" s="137">
        <v>61.067633999999998</v>
      </c>
      <c r="Y194" s="197">
        <f>-318.920914-X194</f>
        <v>-379.98854799999998</v>
      </c>
      <c r="Z194" s="197">
        <f>-410.543536-SUM(X194:Y194)</f>
        <v>-91.622622000000035</v>
      </c>
      <c r="AA194" s="194">
        <f>(AA82-Z82)+(AA90-Z90)</f>
        <v>42.904023999999481</v>
      </c>
      <c r="AB194" s="657">
        <f>SUM(X194:AA194)</f>
        <v>-367.63951200000054</v>
      </c>
      <c r="AC194" s="33">
        <f t="shared" ref="AC194:AF194" si="395">(AC82-AB82)+(AC90-AB90)</f>
        <v>299</v>
      </c>
      <c r="AD194" s="33">
        <f t="shared" si="395"/>
        <v>-1128</v>
      </c>
      <c r="AE194" s="33">
        <f t="shared" si="395"/>
        <v>-1764</v>
      </c>
      <c r="AF194" s="33">
        <f t="shared" si="395"/>
        <v>309.69999999999982</v>
      </c>
      <c r="AG194" s="657">
        <f>SUM(AC194:AF194)</f>
        <v>-2283.3000000000002</v>
      </c>
      <c r="AH194" s="33">
        <f t="shared" ref="AH194:AK194" si="396">(AH82-AG82)+(AH90-AG90)</f>
        <v>269.30000000000018</v>
      </c>
      <c r="AI194" s="33">
        <f t="shared" si="396"/>
        <v>298</v>
      </c>
      <c r="AJ194" s="33">
        <f t="shared" si="396"/>
        <v>-394</v>
      </c>
      <c r="AK194" s="934">
        <f t="shared" si="396"/>
        <v>322.36952128272969</v>
      </c>
      <c r="AL194" s="657">
        <f>SUM(AH194:AK194)</f>
        <v>495.66952128272987</v>
      </c>
      <c r="AM194" s="33">
        <f t="shared" ref="AM194:AP194" si="397">(AM82-AL82)+(AM90-AL90)</f>
        <v>231.63047871727031</v>
      </c>
      <c r="AN194" s="33">
        <f t="shared" si="397"/>
        <v>-482</v>
      </c>
      <c r="AO194" s="33">
        <f t="shared" si="397"/>
        <v>304.5</v>
      </c>
      <c r="AP194" s="33">
        <f t="shared" si="397"/>
        <v>392.20000000000073</v>
      </c>
      <c r="AQ194" s="657">
        <f>SUM(AM194:AP194)</f>
        <v>446.33047871727103</v>
      </c>
    </row>
    <row r="195" spans="1:43" ht="15.75" customHeight="1" outlineLevel="1">
      <c r="B195" s="847" t="s">
        <v>236</v>
      </c>
      <c r="C195" s="847"/>
      <c r="D195" s="881"/>
      <c r="E195" s="880">
        <v>0.4</v>
      </c>
      <c r="F195" s="880">
        <f>0.4-E195</f>
        <v>0</v>
      </c>
      <c r="G195" s="881"/>
      <c r="H195" s="890"/>
      <c r="I195" s="882"/>
      <c r="J195" s="882"/>
      <c r="K195" s="882"/>
      <c r="L195" s="873"/>
      <c r="M195" s="903"/>
      <c r="N195" s="882"/>
      <c r="O195" s="882"/>
      <c r="P195" s="882"/>
      <c r="Q195" s="873"/>
      <c r="R195" s="903"/>
      <c r="S195" s="220"/>
      <c r="T195" s="220"/>
      <c r="U195" s="220"/>
      <c r="V195" s="137"/>
      <c r="W195" s="918"/>
      <c r="X195" s="220"/>
      <c r="Y195" s="220"/>
      <c r="Z195" s="220"/>
      <c r="AA195" s="220" t="s">
        <v>84</v>
      </c>
      <c r="AB195" s="925" t="s">
        <v>84</v>
      </c>
      <c r="AC195" s="220" t="s">
        <v>84</v>
      </c>
      <c r="AD195" s="220" t="s">
        <v>84</v>
      </c>
      <c r="AE195" s="220" t="s">
        <v>84</v>
      </c>
      <c r="AF195" s="220" t="s">
        <v>84</v>
      </c>
      <c r="AG195" s="925" t="s">
        <v>84</v>
      </c>
      <c r="AH195" s="220" t="s">
        <v>84</v>
      </c>
      <c r="AI195" s="220" t="s">
        <v>84</v>
      </c>
      <c r="AJ195" s="220" t="s">
        <v>84</v>
      </c>
      <c r="AK195" s="940" t="s">
        <v>84</v>
      </c>
      <c r="AL195" s="925"/>
      <c r="AM195" s="220" t="s">
        <v>84</v>
      </c>
      <c r="AN195" s="220" t="s">
        <v>84</v>
      </c>
      <c r="AO195" s="220" t="s">
        <v>84</v>
      </c>
      <c r="AP195" s="220" t="s">
        <v>84</v>
      </c>
      <c r="AQ195" s="925" t="s">
        <v>84</v>
      </c>
    </row>
    <row r="196" spans="1:43" ht="15.75" customHeight="1" outlineLevel="1">
      <c r="A196" s="80"/>
      <c r="B196" s="845" t="s">
        <v>152</v>
      </c>
      <c r="C196" s="846"/>
      <c r="D196" s="880">
        <v>54.341569</v>
      </c>
      <c r="E196" s="880">
        <v>-1387.8990349999999</v>
      </c>
      <c r="F196" s="880">
        <v>-48.946094000000002</v>
      </c>
      <c r="G196" s="880">
        <v>421.035393</v>
      </c>
      <c r="H196" s="891">
        <v>-961.46816699999999</v>
      </c>
      <c r="I196" s="197">
        <v>265.61598500000002</v>
      </c>
      <c r="J196" s="880">
        <f>-514.546778-I196</f>
        <v>-780.16276300000004</v>
      </c>
      <c r="K196" s="880">
        <f>-1350.635844-SUM(I196:J196)</f>
        <v>-836.08906599999989</v>
      </c>
      <c r="L196" s="873">
        <f>M196-SUM(I196:K196)</f>
        <v>-65.539925000000039</v>
      </c>
      <c r="M196" s="888">
        <v>-1416.1757689999999</v>
      </c>
      <c r="N196" s="197">
        <v>144.404751</v>
      </c>
      <c r="O196" s="196">
        <f>-1272.833454-N196</f>
        <v>-1417.2382050000001</v>
      </c>
      <c r="P196" s="197">
        <f>-733.814837-SUM(N196:O196)</f>
        <v>539.01861700000006</v>
      </c>
      <c r="Q196" s="873">
        <f>R196-SUM(N196:P196)</f>
        <v>136.49899000000005</v>
      </c>
      <c r="R196" s="888">
        <v>-597.31584699999996</v>
      </c>
      <c r="S196" s="137">
        <v>133.83376999999999</v>
      </c>
      <c r="T196" s="197">
        <f>-1939.594992-S196</f>
        <v>-2073.428762</v>
      </c>
      <c r="U196" s="197">
        <f>-1410.752321-SUM(S196:T196)</f>
        <v>528.84267100000011</v>
      </c>
      <c r="V196" s="137">
        <f>W196-SUM(S196:U196)</f>
        <v>22.237343999999894</v>
      </c>
      <c r="W196" s="681">
        <v>-1388.514977</v>
      </c>
      <c r="X196" s="137">
        <v>41.845357999999997</v>
      </c>
      <c r="Y196" s="197">
        <f>-540.102706-X196</f>
        <v>-581.94806400000004</v>
      </c>
      <c r="Z196" s="197">
        <f>-599.721178-SUM(X196:Y196)</f>
        <v>-59.618471999999997</v>
      </c>
      <c r="AA196" s="194">
        <f>(AA95-Z95)</f>
        <v>-24.068095833939879</v>
      </c>
      <c r="AB196" s="657">
        <f>SUM(X196:AA196)</f>
        <v>-623.78927383393989</v>
      </c>
      <c r="AC196" s="33">
        <f t="shared" ref="AC196:AF196" si="398">AC95-AB95</f>
        <v>-45.290394686951913</v>
      </c>
      <c r="AD196" s="33">
        <f t="shared" si="398"/>
        <v>629.85857370052599</v>
      </c>
      <c r="AE196" s="33">
        <f t="shared" si="398"/>
        <v>64.526730241214864</v>
      </c>
      <c r="AF196" s="33">
        <f t="shared" si="398"/>
        <v>-26.049569457203688</v>
      </c>
      <c r="AG196" s="657">
        <f>SUM(AC196:AF196)</f>
        <v>623.04533979758526</v>
      </c>
      <c r="AH196" s="33">
        <f t="shared" ref="AH196:AK196" si="399">AH95-AG95</f>
        <v>-49.0190537000517</v>
      </c>
      <c r="AI196" s="33">
        <f t="shared" si="399"/>
        <v>681.71345074542751</v>
      </c>
      <c r="AJ196" s="33">
        <f t="shared" si="399"/>
        <v>69.839074634828648</v>
      </c>
      <c r="AK196" s="934">
        <f t="shared" si="399"/>
        <v>-28.19417346463888</v>
      </c>
      <c r="AL196" s="657">
        <f>SUM(AH196:AK196)</f>
        <v>674.33929821556558</v>
      </c>
      <c r="AM196" s="33">
        <f t="shared" ref="AM196:AP196" si="400">AM95-AL95</f>
        <v>-53.054685044307917</v>
      </c>
      <c r="AN196" s="33">
        <f t="shared" si="400"/>
        <v>737.83742626039202</v>
      </c>
      <c r="AO196" s="33">
        <f t="shared" si="400"/>
        <v>75.588772708861143</v>
      </c>
      <c r="AP196" s="33">
        <f t="shared" si="400"/>
        <v>-30.51533802353697</v>
      </c>
      <c r="AQ196" s="657">
        <f>SUM(AM196:AP196)</f>
        <v>729.85617590140828</v>
      </c>
    </row>
    <row r="197" spans="1:43" ht="15.75" customHeight="1" outlineLevel="1">
      <c r="A197" s="221"/>
      <c r="B197" s="847" t="s">
        <v>141</v>
      </c>
      <c r="C197" s="847"/>
      <c r="D197" s="880">
        <v>557.26271199999996</v>
      </c>
      <c r="E197" s="880">
        <v>1583.246427</v>
      </c>
      <c r="F197" s="880">
        <v>1448.040749</v>
      </c>
      <c r="G197" s="880">
        <v>1295.788869</v>
      </c>
      <c r="H197" s="891">
        <v>4884.3387570000004</v>
      </c>
      <c r="I197" s="882"/>
      <c r="J197" s="882"/>
      <c r="K197" s="882"/>
      <c r="L197" s="873"/>
      <c r="M197" s="903"/>
      <c r="N197" s="882"/>
      <c r="O197" s="882"/>
      <c r="P197" s="882"/>
      <c r="Q197" s="873"/>
      <c r="R197" s="903"/>
      <c r="S197" s="220"/>
      <c r="T197" s="220"/>
      <c r="U197" s="220"/>
      <c r="V197" s="137"/>
      <c r="W197" s="918"/>
      <c r="X197" s="220"/>
      <c r="Y197" s="220"/>
      <c r="Z197" s="220"/>
      <c r="AA197" s="220" t="s">
        <v>84</v>
      </c>
      <c r="AB197" s="925" t="s">
        <v>84</v>
      </c>
      <c r="AC197" s="220" t="s">
        <v>84</v>
      </c>
      <c r="AD197" s="220" t="s">
        <v>84</v>
      </c>
      <c r="AE197" s="220" t="s">
        <v>84</v>
      </c>
      <c r="AF197" s="220" t="s">
        <v>84</v>
      </c>
      <c r="AG197" s="925" t="s">
        <v>84</v>
      </c>
      <c r="AH197" s="220" t="s">
        <v>84</v>
      </c>
      <c r="AI197" s="220" t="s">
        <v>84</v>
      </c>
      <c r="AJ197" s="220" t="s">
        <v>84</v>
      </c>
      <c r="AK197" s="940" t="s">
        <v>84</v>
      </c>
      <c r="AL197" s="925" t="s">
        <v>84</v>
      </c>
      <c r="AM197" s="220" t="s">
        <v>84</v>
      </c>
      <c r="AN197" s="220" t="s">
        <v>84</v>
      </c>
      <c r="AO197" s="220" t="s">
        <v>84</v>
      </c>
      <c r="AP197" s="220" t="s">
        <v>84</v>
      </c>
      <c r="AQ197" s="925" t="s">
        <v>84</v>
      </c>
    </row>
    <row r="198" spans="1:43" ht="15.75" customHeight="1" outlineLevel="1">
      <c r="B198" s="845" t="s">
        <v>237</v>
      </c>
      <c r="C198" s="848"/>
      <c r="D198" s="881"/>
      <c r="E198" s="881"/>
      <c r="F198" s="881"/>
      <c r="G198" s="881"/>
      <c r="H198" s="890"/>
      <c r="I198" s="882"/>
      <c r="J198" s="882"/>
      <c r="K198" s="882"/>
      <c r="L198" s="873"/>
      <c r="M198" s="891"/>
      <c r="N198" s="882"/>
      <c r="O198" s="880" t="s">
        <v>84</v>
      </c>
      <c r="P198" s="882"/>
      <c r="Q198" s="873"/>
      <c r="R198" s="891"/>
      <c r="S198" s="220"/>
      <c r="T198" s="220"/>
      <c r="U198" s="220"/>
      <c r="V198" s="137"/>
      <c r="W198" s="918"/>
      <c r="X198" s="220"/>
      <c r="Y198" s="220"/>
      <c r="Z198" s="220"/>
      <c r="AA198" s="220" t="s">
        <v>84</v>
      </c>
      <c r="AB198" s="925" t="s">
        <v>84</v>
      </c>
      <c r="AC198" s="220" t="s">
        <v>84</v>
      </c>
      <c r="AD198" s="220" t="s">
        <v>84</v>
      </c>
      <c r="AE198" s="220" t="s">
        <v>84</v>
      </c>
      <c r="AF198" s="220" t="s">
        <v>84</v>
      </c>
      <c r="AG198" s="925" t="s">
        <v>84</v>
      </c>
      <c r="AH198" s="220" t="s">
        <v>84</v>
      </c>
      <c r="AI198" s="220" t="s">
        <v>84</v>
      </c>
      <c r="AJ198" s="220" t="s">
        <v>84</v>
      </c>
      <c r="AK198" s="940" t="s">
        <v>84</v>
      </c>
      <c r="AL198" s="925" t="s">
        <v>84</v>
      </c>
      <c r="AM198" s="220" t="s">
        <v>84</v>
      </c>
      <c r="AN198" s="220" t="s">
        <v>84</v>
      </c>
      <c r="AO198" s="220" t="s">
        <v>84</v>
      </c>
      <c r="AP198" s="220" t="s">
        <v>84</v>
      </c>
      <c r="AQ198" s="925" t="s">
        <v>84</v>
      </c>
    </row>
    <row r="199" spans="1:43" ht="15.75" customHeight="1" outlineLevel="1">
      <c r="B199" s="845" t="s">
        <v>219</v>
      </c>
      <c r="C199" s="848"/>
      <c r="D199" s="880">
        <v>114.141334</v>
      </c>
      <c r="E199" s="880">
        <v>50.363594999999997</v>
      </c>
      <c r="F199" s="880">
        <v>120.22755100000001</v>
      </c>
      <c r="G199" s="880">
        <v>134.894319</v>
      </c>
      <c r="H199" s="891">
        <v>419.62679900000001</v>
      </c>
      <c r="I199" s="197">
        <v>25.855922</v>
      </c>
      <c r="J199" s="196">
        <f>35.835709-I199</f>
        <v>9.9797870000000017</v>
      </c>
      <c r="K199" s="197">
        <f>241.759084-SUM(I199:J199)</f>
        <v>205.92337499999999</v>
      </c>
      <c r="L199" s="873">
        <f t="shared" ref="L199:L201" si="401">M199-SUM(I199:K199)</f>
        <v>153.25270600000002</v>
      </c>
      <c r="M199" s="888">
        <v>395.01179000000002</v>
      </c>
      <c r="N199" s="197">
        <v>24.236982000000001</v>
      </c>
      <c r="O199" s="880">
        <f>48.157732-N199</f>
        <v>23.920750000000002</v>
      </c>
      <c r="P199" s="880">
        <f>476.536941-SUM(N199:O199)</f>
        <v>428.379209</v>
      </c>
      <c r="Q199" s="873">
        <f t="shared" ref="Q199:Q201" si="402">R199-SUM(N199:P199)</f>
        <v>76.429185000000018</v>
      </c>
      <c r="R199" s="888">
        <v>552.96612600000003</v>
      </c>
      <c r="S199" s="137">
        <v>14.816295</v>
      </c>
      <c r="T199" s="220">
        <f>14.816295-S199</f>
        <v>0</v>
      </c>
      <c r="U199" s="197">
        <f>405.589542-SUM(S199:T199)</f>
        <v>390.77324699999997</v>
      </c>
      <c r="V199" s="137">
        <f t="shared" ref="V199:V200" si="403">W199-SUM(S199:U199)</f>
        <v>283.16982300000001</v>
      </c>
      <c r="W199" s="681">
        <v>688.759365</v>
      </c>
      <c r="X199" s="137">
        <v>39.298560999999999</v>
      </c>
      <c r="Y199" s="197">
        <f>127.564112-X199</f>
        <v>88.265550999999988</v>
      </c>
      <c r="Z199" s="197">
        <f>562.496039-SUM(X199:Y199)</f>
        <v>434.93192699999997</v>
      </c>
      <c r="AA199" s="194">
        <f>AA27</f>
        <v>0</v>
      </c>
      <c r="AB199" s="657">
        <f t="shared" ref="AB199:AB200" si="404">SUM(X199:AA199)</f>
        <v>562.496039</v>
      </c>
      <c r="AC199" s="33">
        <f t="shared" ref="AC199:AQ199" si="405">AC27</f>
        <v>0</v>
      </c>
      <c r="AD199" s="33">
        <f t="shared" si="405"/>
        <v>0</v>
      </c>
      <c r="AE199" s="33">
        <f t="shared" si="405"/>
        <v>0</v>
      </c>
      <c r="AF199" s="33">
        <f t="shared" si="405"/>
        <v>0</v>
      </c>
      <c r="AG199" s="657">
        <f t="shared" si="405"/>
        <v>0</v>
      </c>
      <c r="AH199" s="33">
        <f t="shared" si="405"/>
        <v>0</v>
      </c>
      <c r="AI199" s="33">
        <f t="shared" si="405"/>
        <v>0</v>
      </c>
      <c r="AJ199" s="33">
        <f t="shared" si="405"/>
        <v>0</v>
      </c>
      <c r="AK199" s="934">
        <f t="shared" si="405"/>
        <v>0</v>
      </c>
      <c r="AL199" s="657">
        <f t="shared" si="405"/>
        <v>0</v>
      </c>
      <c r="AM199" s="33">
        <f t="shared" si="405"/>
        <v>0</v>
      </c>
      <c r="AN199" s="33">
        <f t="shared" si="405"/>
        <v>0</v>
      </c>
      <c r="AO199" s="33">
        <f t="shared" si="405"/>
        <v>0</v>
      </c>
      <c r="AP199" s="33">
        <f t="shared" si="405"/>
        <v>0</v>
      </c>
      <c r="AQ199" s="657">
        <f t="shared" si="405"/>
        <v>0</v>
      </c>
    </row>
    <row r="200" spans="1:43" ht="15.75" customHeight="1" outlineLevel="1">
      <c r="B200" s="845" t="s">
        <v>218</v>
      </c>
      <c r="C200" s="846"/>
      <c r="D200" s="880">
        <v>1424.9051629999999</v>
      </c>
      <c r="E200" s="880">
        <v>554.16218400000002</v>
      </c>
      <c r="F200" s="880">
        <v>663.88259000000005</v>
      </c>
      <c r="G200" s="880">
        <v>250.53698900000001</v>
      </c>
      <c r="H200" s="891">
        <v>2893.486926</v>
      </c>
      <c r="I200" s="197">
        <v>685.19495199999994</v>
      </c>
      <c r="J200" s="196">
        <f>1654.471097-I200</f>
        <v>969.27614500000016</v>
      </c>
      <c r="K200" s="197">
        <f>2370.971511-SUM(I200:J200)</f>
        <v>716.50041400000009</v>
      </c>
      <c r="L200" s="873">
        <f t="shared" si="401"/>
        <v>519.68899499999998</v>
      </c>
      <c r="M200" s="888">
        <v>2890.6605060000002</v>
      </c>
      <c r="N200" s="197">
        <v>702.83878200000004</v>
      </c>
      <c r="O200" s="196">
        <f>1919.426638-N200</f>
        <v>1216.5878559999999</v>
      </c>
      <c r="P200" s="197">
        <f>2799.475827-SUM(N200:O200)</f>
        <v>880.0491890000003</v>
      </c>
      <c r="Q200" s="873">
        <f t="shared" si="402"/>
        <v>1075.437183</v>
      </c>
      <c r="R200" s="888">
        <v>3874.9130100000002</v>
      </c>
      <c r="S200" s="137">
        <v>524.83810400000004</v>
      </c>
      <c r="T200" s="197">
        <f>1762.743936-S200</f>
        <v>1237.9058319999999</v>
      </c>
      <c r="U200" s="197">
        <f>1941.428164-SUM(S200:T200)</f>
        <v>178.68422800000008</v>
      </c>
      <c r="V200" s="137">
        <f t="shared" si="403"/>
        <v>1625.5302040000001</v>
      </c>
      <c r="W200" s="681">
        <v>3566.9583680000001</v>
      </c>
      <c r="X200" s="137">
        <v>1228.576067</v>
      </c>
      <c r="Y200" s="197">
        <f>2708.416424-X200</f>
        <v>1479.840357</v>
      </c>
      <c r="Z200" s="197">
        <f>2925.360708-SUM(X200:Y200)</f>
        <v>216.94428400000015</v>
      </c>
      <c r="AA200" s="194">
        <f>AA26</f>
        <v>1127.7504667540518</v>
      </c>
      <c r="AB200" s="657">
        <f t="shared" si="404"/>
        <v>4053.1111747540517</v>
      </c>
      <c r="AC200" s="33">
        <f t="shared" ref="AC200:AQ200" si="406">AC26</f>
        <v>1022.8180871775318</v>
      </c>
      <c r="AD200" s="33">
        <f t="shared" si="406"/>
        <v>856.42266651977559</v>
      </c>
      <c r="AE200" s="33">
        <f t="shared" si="406"/>
        <v>596.30120612331677</v>
      </c>
      <c r="AF200" s="33">
        <f t="shared" si="406"/>
        <v>737.63530143378171</v>
      </c>
      <c r="AG200" s="657">
        <f t="shared" si="406"/>
        <v>3213.1772612544055</v>
      </c>
      <c r="AH200" s="33">
        <f t="shared" si="406"/>
        <v>733.52220027591659</v>
      </c>
      <c r="AI200" s="33">
        <f t="shared" si="406"/>
        <v>749.57325391341703</v>
      </c>
      <c r="AJ200" s="33">
        <f t="shared" si="406"/>
        <v>707.233630839292</v>
      </c>
      <c r="AK200" s="934">
        <f t="shared" si="406"/>
        <v>755.96216714830541</v>
      </c>
      <c r="AL200" s="657">
        <f t="shared" si="406"/>
        <v>2946.2912521769313</v>
      </c>
      <c r="AM200" s="33">
        <f t="shared" si="406"/>
        <v>770.26330710488435</v>
      </c>
      <c r="AN200" s="33">
        <f t="shared" si="406"/>
        <v>722.11836343048492</v>
      </c>
      <c r="AO200" s="33">
        <f t="shared" si="406"/>
        <v>752.1664415997642</v>
      </c>
      <c r="AP200" s="33">
        <f t="shared" si="406"/>
        <v>792.23796972193225</v>
      </c>
      <c r="AQ200" s="657">
        <f t="shared" si="406"/>
        <v>3036.7860818570657</v>
      </c>
    </row>
    <row r="201" spans="1:43" ht="15.75" customHeight="1" outlineLevel="1">
      <c r="B201" s="845" t="s">
        <v>238</v>
      </c>
      <c r="C201" s="846"/>
      <c r="D201" s="880">
        <v>1.7704120000000001</v>
      </c>
      <c r="E201" s="880">
        <v>0.12840399999999999</v>
      </c>
      <c r="F201" s="880">
        <v>19.158438</v>
      </c>
      <c r="G201" s="880">
        <v>67.883048000000002</v>
      </c>
      <c r="H201" s="891">
        <v>88.940302000000003</v>
      </c>
      <c r="I201" s="197">
        <v>206.50670500000001</v>
      </c>
      <c r="J201" s="196">
        <f>232.206381-I201</f>
        <v>25.699675999999982</v>
      </c>
      <c r="K201" s="197">
        <f>248.542913-SUM(I201:J201)</f>
        <v>16.336532000000005</v>
      </c>
      <c r="L201" s="873">
        <f t="shared" si="401"/>
        <v>-117.842747</v>
      </c>
      <c r="M201" s="888">
        <v>130.700166</v>
      </c>
      <c r="N201" s="882"/>
      <c r="O201" s="882"/>
      <c r="P201" s="882"/>
      <c r="Q201" s="873">
        <f t="shared" si="402"/>
        <v>78.331530999999998</v>
      </c>
      <c r="R201" s="888">
        <v>78.331530999999998</v>
      </c>
      <c r="S201" s="220"/>
      <c r="T201" s="220"/>
      <c r="U201" s="220"/>
      <c r="V201" s="137"/>
      <c r="W201" s="918"/>
      <c r="X201" s="220"/>
      <c r="Y201" s="220"/>
      <c r="Z201" s="220"/>
      <c r="AA201" s="194"/>
      <c r="AB201" s="657"/>
      <c r="AC201" s="33"/>
      <c r="AD201" s="33"/>
      <c r="AE201" s="33"/>
      <c r="AF201" s="33"/>
      <c r="AG201" s="657"/>
      <c r="AH201" s="33"/>
      <c r="AI201" s="33"/>
      <c r="AJ201" s="33"/>
      <c r="AK201" s="934"/>
      <c r="AL201" s="657"/>
      <c r="AM201" s="68"/>
      <c r="AN201" s="68"/>
      <c r="AO201" s="68"/>
      <c r="AP201" s="68"/>
      <c r="AQ201" s="672"/>
    </row>
    <row r="202" spans="1:43" ht="15.75" customHeight="1" outlineLevel="1">
      <c r="B202" s="845" t="s">
        <v>239</v>
      </c>
      <c r="C202" s="846"/>
      <c r="D202" s="881"/>
      <c r="E202" s="881"/>
      <c r="F202" s="881"/>
      <c r="G202" s="880">
        <v>80.127084999999994</v>
      </c>
      <c r="H202" s="891">
        <v>80.127084999999994</v>
      </c>
      <c r="I202" s="882"/>
      <c r="J202" s="882"/>
      <c r="K202" s="882"/>
      <c r="L202" s="873"/>
      <c r="M202" s="903"/>
      <c r="N202" s="882"/>
      <c r="O202" s="882"/>
      <c r="P202" s="882"/>
      <c r="Q202" s="873"/>
      <c r="R202" s="903"/>
      <c r="S202" s="220"/>
      <c r="T202" s="220"/>
      <c r="U202" s="220"/>
      <c r="V202" s="137">
        <f>W202-SUM(S202:U202)</f>
        <v>97.439486000000002</v>
      </c>
      <c r="W202" s="681">
        <v>97.439486000000002</v>
      </c>
      <c r="X202" s="137">
        <v>9.8555349999999997</v>
      </c>
      <c r="Y202" s="197">
        <f>22.309353-X202</f>
        <v>12.453818000000002</v>
      </c>
      <c r="Z202" s="197">
        <f>38.181767-SUM(X202:Y202)</f>
        <v>15.872413999999999</v>
      </c>
      <c r="AA202" s="194">
        <f>AVERAGE(X202:Z202,V202)</f>
        <v>33.905313249999999</v>
      </c>
      <c r="AB202" s="657">
        <f>SUM(X202:AA202)</f>
        <v>72.08708025</v>
      </c>
      <c r="AC202" s="33">
        <f>AVERAGE(X202:AA202)</f>
        <v>18.0217700625</v>
      </c>
      <c r="AD202" s="33">
        <f>AVERAGE(AC202,Y202:AA202)</f>
        <v>20.063328828125002</v>
      </c>
      <c r="AE202" s="33">
        <f>AVERAGE(AC202:AD202,Z202:AA202)</f>
        <v>21.965706535156251</v>
      </c>
      <c r="AF202" s="33">
        <f>AVERAGE(AC202:AE202,AA202)</f>
        <v>23.489029668945314</v>
      </c>
      <c r="AG202" s="657">
        <f>SUM(AC202:AF202)</f>
        <v>83.53983509472657</v>
      </c>
      <c r="AH202" s="33">
        <f>AVERAGE(AC202:AF202)</f>
        <v>20.884958773681642</v>
      </c>
      <c r="AI202" s="33">
        <f>AVERAGE(AH202,AD202:AF202)</f>
        <v>21.600755951477051</v>
      </c>
      <c r="AJ202" s="33">
        <f>AVERAGE(AH202:AI202,AE202:AF202)</f>
        <v>21.985112732315066</v>
      </c>
      <c r="AK202" s="934">
        <f>AVERAGE(AH202:AJ202,AF202)</f>
        <v>21.98996428160477</v>
      </c>
      <c r="AL202" s="657">
        <f>SUM(AH202:AK202)</f>
        <v>86.46079173907853</v>
      </c>
      <c r="AM202" s="65">
        <f>AVERAGE(AH202:AK202)</f>
        <v>21.615197934769633</v>
      </c>
      <c r="AN202" s="65">
        <f>AVERAGE(AM202,AI202:AK202)</f>
        <v>21.797757725041631</v>
      </c>
      <c r="AO202" s="65">
        <f>AVERAGE(AN202,AI202:AK202)</f>
        <v>21.84339767260963</v>
      </c>
      <c r="AP202" s="65">
        <f>AVERAGE(AM202:AO202,AK202)</f>
        <v>21.811579403506414</v>
      </c>
      <c r="AQ202" s="671">
        <f>SUM(AM202:AP202)</f>
        <v>87.0679327359273</v>
      </c>
    </row>
    <row r="203" spans="1:43" ht="15.75" customHeight="1" outlineLevel="1">
      <c r="B203" s="849" t="s">
        <v>240</v>
      </c>
      <c r="C203" s="846"/>
      <c r="D203" s="881"/>
      <c r="E203" s="881"/>
      <c r="F203" s="880">
        <v>0.4</v>
      </c>
      <c r="G203" s="880">
        <v>-0.4</v>
      </c>
      <c r="H203" s="891">
        <v>0</v>
      </c>
      <c r="I203" s="882"/>
      <c r="J203" s="882"/>
      <c r="K203" s="882"/>
      <c r="L203" s="873"/>
      <c r="M203" s="903"/>
      <c r="N203" s="882"/>
      <c r="O203" s="882"/>
      <c r="P203" s="882"/>
      <c r="Q203" s="873"/>
      <c r="R203" s="903"/>
      <c r="S203" s="220"/>
      <c r="T203" s="220"/>
      <c r="U203" s="220"/>
      <c r="V203" s="137"/>
      <c r="W203" s="918"/>
      <c r="X203" s="220"/>
      <c r="Y203" s="220"/>
      <c r="Z203" s="220"/>
      <c r="AA203" s="220" t="s">
        <v>84</v>
      </c>
      <c r="AB203" s="925" t="s">
        <v>84</v>
      </c>
      <c r="AC203" s="220" t="s">
        <v>84</v>
      </c>
      <c r="AD203" s="220" t="s">
        <v>84</v>
      </c>
      <c r="AE203" s="220" t="s">
        <v>84</v>
      </c>
      <c r="AF203" s="220" t="s">
        <v>84</v>
      </c>
      <c r="AG203" s="925" t="s">
        <v>84</v>
      </c>
      <c r="AH203" s="220" t="s">
        <v>84</v>
      </c>
      <c r="AI203" s="220" t="s">
        <v>84</v>
      </c>
      <c r="AJ203" s="220" t="s">
        <v>84</v>
      </c>
      <c r="AK203" s="940" t="s">
        <v>84</v>
      </c>
      <c r="AL203" s="925" t="s">
        <v>84</v>
      </c>
      <c r="AM203" s="220" t="s">
        <v>84</v>
      </c>
      <c r="AN203" s="220"/>
      <c r="AO203" s="220" t="s">
        <v>84</v>
      </c>
      <c r="AP203" s="220" t="s">
        <v>84</v>
      </c>
      <c r="AQ203" s="925" t="s">
        <v>84</v>
      </c>
    </row>
    <row r="204" spans="1:43" ht="15.75" customHeight="1" outlineLevel="1">
      <c r="B204" s="766" t="s">
        <v>241</v>
      </c>
      <c r="C204" s="732"/>
      <c r="D204" s="884">
        <v>1348.9170260000001</v>
      </c>
      <c r="E204" s="884">
        <v>-17.185448999999998</v>
      </c>
      <c r="F204" s="884">
        <v>1238.045163</v>
      </c>
      <c r="G204" s="884">
        <v>1036.9599089999999</v>
      </c>
      <c r="H204" s="892">
        <v>3606.7366489999999</v>
      </c>
      <c r="I204" s="884">
        <f t="shared" ref="I204:K204" si="407">SUM(I192:I203)</f>
        <v>-700.81176900000025</v>
      </c>
      <c r="J204" s="884">
        <f t="shared" si="407"/>
        <v>-1589.3441249999994</v>
      </c>
      <c r="K204" s="884">
        <f t="shared" si="407"/>
        <v>-1369.049698</v>
      </c>
      <c r="L204" s="873">
        <f>M204-SUM(I204:K204)</f>
        <v>-310.4491979999998</v>
      </c>
      <c r="M204" s="892">
        <f t="shared" ref="M204:P204" si="408">SUM(M192:M203)</f>
        <v>-3969.6547899999991</v>
      </c>
      <c r="N204" s="885">
        <f t="shared" si="408"/>
        <v>-257.44184299999995</v>
      </c>
      <c r="O204" s="885">
        <f t="shared" si="408"/>
        <v>-1059.6277199999997</v>
      </c>
      <c r="P204" s="885">
        <f t="shared" si="408"/>
        <v>1320.0073220000004</v>
      </c>
      <c r="Q204" s="873">
        <f>R204-SUM(N204:P204)</f>
        <v>821.01099699999918</v>
      </c>
      <c r="R204" s="892">
        <f t="shared" ref="R204:U204" si="409">SUM(R192:R203)</f>
        <v>823.948756</v>
      </c>
      <c r="S204" s="218">
        <f t="shared" si="409"/>
        <v>-1646.3736589999999</v>
      </c>
      <c r="T204" s="218">
        <f t="shared" si="409"/>
        <v>-3145.1839669999995</v>
      </c>
      <c r="U204" s="218">
        <f t="shared" si="409"/>
        <v>-2717.8339079999996</v>
      </c>
      <c r="V204" s="218">
        <f>W204-SUM(S204:U204)</f>
        <v>460.41988499999934</v>
      </c>
      <c r="W204" s="919">
        <v>-7048.9716490000001</v>
      </c>
      <c r="X204" s="218">
        <f t="shared" ref="X204:AQ204" si="410">SUM(X192:X203)</f>
        <v>-270.80934500000006</v>
      </c>
      <c r="Y204" s="218">
        <f t="shared" si="410"/>
        <v>-1197.7031580000003</v>
      </c>
      <c r="Z204" s="218">
        <f t="shared" si="410"/>
        <v>-723.6026509999997</v>
      </c>
      <c r="AA204" s="222">
        <f t="shared" si="410"/>
        <v>-96.682912637144966</v>
      </c>
      <c r="AB204" s="926">
        <f t="shared" si="410"/>
        <v>-2288.7980666371454</v>
      </c>
      <c r="AC204" s="222">
        <f t="shared" si="410"/>
        <v>-244.80132608767869</v>
      </c>
      <c r="AD204" s="222">
        <f t="shared" si="410"/>
        <v>-1167.840655842527</v>
      </c>
      <c r="AE204" s="222">
        <f t="shared" si="410"/>
        <v>-2597.3814695883525</v>
      </c>
      <c r="AF204" s="222">
        <f t="shared" si="410"/>
        <v>-554.86463618488244</v>
      </c>
      <c r="AG204" s="926">
        <f t="shared" si="410"/>
        <v>-4564.8880877034426</v>
      </c>
      <c r="AH204" s="222">
        <f t="shared" si="410"/>
        <v>-723.07244197979594</v>
      </c>
      <c r="AI204" s="222">
        <f t="shared" si="410"/>
        <v>10.080420762973997</v>
      </c>
      <c r="AJ204" s="222">
        <f t="shared" si="410"/>
        <v>-1388.9894185933736</v>
      </c>
      <c r="AK204" s="941">
        <f t="shared" si="410"/>
        <v>-799.21057649110412</v>
      </c>
      <c r="AL204" s="926">
        <f t="shared" si="410"/>
        <v>-2901.1920163012983</v>
      </c>
      <c r="AM204" s="222">
        <f t="shared" si="410"/>
        <v>-975.90563334710566</v>
      </c>
      <c r="AN204" s="222">
        <f t="shared" si="410"/>
        <v>-1014.296053350192</v>
      </c>
      <c r="AO204" s="222">
        <f t="shared" si="410"/>
        <v>-934.73918757047988</v>
      </c>
      <c r="AP204" s="222">
        <f t="shared" si="410"/>
        <v>-994.08918747684038</v>
      </c>
      <c r="AQ204" s="926">
        <f t="shared" si="410"/>
        <v>-3919.0300617446173</v>
      </c>
    </row>
    <row r="205" spans="1:43" ht="15.75" customHeight="1" outlineLevel="1">
      <c r="B205" s="765"/>
      <c r="C205" s="736"/>
      <c r="D205" s="881"/>
      <c r="E205" s="881"/>
      <c r="F205" s="881"/>
      <c r="G205" s="881"/>
      <c r="H205" s="890"/>
      <c r="I205" s="882"/>
      <c r="J205" s="882"/>
      <c r="K205" s="882"/>
      <c r="L205" s="873"/>
      <c r="M205" s="903"/>
      <c r="N205" s="882"/>
      <c r="O205" s="882"/>
      <c r="P205" s="882"/>
      <c r="Q205" s="873"/>
      <c r="R205" s="891"/>
      <c r="S205" s="220"/>
      <c r="T205" s="220"/>
      <c r="U205" s="220"/>
      <c r="V205" s="137"/>
      <c r="W205" s="918"/>
      <c r="X205" s="220"/>
      <c r="Y205" s="220"/>
      <c r="Z205" s="220"/>
      <c r="AA205" s="194"/>
      <c r="AB205" s="657"/>
      <c r="AC205" s="33"/>
      <c r="AD205" s="33"/>
      <c r="AE205" s="33"/>
      <c r="AF205" s="33"/>
      <c r="AG205" s="657"/>
      <c r="AH205" s="33"/>
      <c r="AI205" s="33"/>
      <c r="AJ205" s="33"/>
      <c r="AK205" s="934"/>
      <c r="AL205" s="657"/>
      <c r="AM205" s="68"/>
      <c r="AN205" s="68"/>
      <c r="AO205" s="68"/>
      <c r="AP205" s="68"/>
      <c r="AQ205" s="672"/>
    </row>
    <row r="206" spans="1:43" ht="15.75" customHeight="1" outlineLevel="1">
      <c r="B206" s="771" t="s">
        <v>242</v>
      </c>
      <c r="C206" s="736"/>
      <c r="D206" s="881"/>
      <c r="E206" s="881"/>
      <c r="F206" s="881"/>
      <c r="G206" s="881"/>
      <c r="H206" s="890"/>
      <c r="I206" s="882"/>
      <c r="J206" s="882"/>
      <c r="K206" s="882"/>
      <c r="L206" s="873"/>
      <c r="M206" s="903"/>
      <c r="N206" s="882"/>
      <c r="O206" s="882"/>
      <c r="P206" s="882"/>
      <c r="Q206" s="873"/>
      <c r="R206" s="891"/>
      <c r="S206" s="220"/>
      <c r="T206" s="220"/>
      <c r="U206" s="220"/>
      <c r="V206" s="137"/>
      <c r="W206" s="918"/>
      <c r="X206" s="220"/>
      <c r="Y206" s="220"/>
      <c r="Z206" s="220"/>
      <c r="AA206" s="194"/>
      <c r="AB206" s="657"/>
      <c r="AC206" s="33"/>
      <c r="AD206" s="33"/>
      <c r="AE206" s="33"/>
      <c r="AF206" s="33"/>
      <c r="AG206" s="657"/>
      <c r="AH206" s="33"/>
      <c r="AI206" s="33"/>
      <c r="AJ206" s="33"/>
      <c r="AK206" s="934"/>
      <c r="AL206" s="657"/>
      <c r="AM206" s="68"/>
      <c r="AN206" s="68"/>
      <c r="AO206" s="68"/>
      <c r="AP206" s="68"/>
      <c r="AQ206" s="672"/>
    </row>
    <row r="207" spans="1:43" ht="15.75" customHeight="1" outlineLevel="1">
      <c r="B207" s="845" t="s">
        <v>243</v>
      </c>
      <c r="C207" s="848"/>
      <c r="D207" s="881"/>
      <c r="E207" s="881"/>
      <c r="F207" s="880">
        <v>-2976.8166919999999</v>
      </c>
      <c r="G207" s="880">
        <v>-991.10688100000004</v>
      </c>
      <c r="H207" s="891">
        <v>-3967.923573</v>
      </c>
      <c r="I207" s="882"/>
      <c r="J207" s="882"/>
      <c r="K207" s="197">
        <f>-5255.885425-SUM(I207:J207)</f>
        <v>-5255.8854250000004</v>
      </c>
      <c r="L207" s="873">
        <f t="shared" ref="L207:L208" si="411">M207-SUM(I207:K207)</f>
        <v>-308.35034499999983</v>
      </c>
      <c r="M207" s="888">
        <v>-5564.2357700000002</v>
      </c>
      <c r="N207" s="197">
        <v>-2.3859729999999999</v>
      </c>
      <c r="O207" s="196">
        <f>-3.806353-N207</f>
        <v>-1.4203800000000002</v>
      </c>
      <c r="P207" s="197">
        <f>-8793.165079-SUM(N207:O207)</f>
        <v>-8789.3587260000004</v>
      </c>
      <c r="Q207" s="873">
        <f t="shared" ref="Q207:Q208" si="412">R207-SUM(N207:P207)</f>
        <v>-9.7534009999999398</v>
      </c>
      <c r="R207" s="888">
        <v>-8802.9184800000003</v>
      </c>
      <c r="S207" s="137">
        <v>-7.0075130000000003</v>
      </c>
      <c r="T207" s="197">
        <f>-8.508143-S207</f>
        <v>-1.5006300000000001</v>
      </c>
      <c r="U207" s="197">
        <f>-9225.242041-SUM(S207:T207)</f>
        <v>-9216.7338980000004</v>
      </c>
      <c r="V207" s="137">
        <f t="shared" ref="V207:V208" si="413">W207-SUM(S207:U207)</f>
        <v>-11.808090000000448</v>
      </c>
      <c r="W207" s="681">
        <v>-9237.050131</v>
      </c>
      <c r="X207" s="137">
        <v>-3.3459080000000001</v>
      </c>
      <c r="Y207" s="197">
        <f>-5.871856-X207</f>
        <v>-2.5259480000000001</v>
      </c>
      <c r="Z207" s="197">
        <f>-9651.744625-SUM(X207:Y207)</f>
        <v>-9645.8727689999996</v>
      </c>
      <c r="AA207" s="194">
        <f>-AA40*AA44</f>
        <v>-2767.7324002047112</v>
      </c>
      <c r="AB207" s="657">
        <f>SUM(X207:AA207)</f>
        <v>-12419.477025204711</v>
      </c>
      <c r="AC207" s="33">
        <f t="shared" ref="AC207:AF207" si="414">-AC40*AC44</f>
        <v>-3307.2199848685564</v>
      </c>
      <c r="AD207" s="33">
        <f t="shared" si="414"/>
        <v>-3216.3639508858919</v>
      </c>
      <c r="AE207" s="33">
        <f t="shared" si="414"/>
        <v>-3100.5396704656901</v>
      </c>
      <c r="AF207" s="33">
        <f t="shared" si="414"/>
        <v>-2707.7804407299955</v>
      </c>
      <c r="AG207" s="657">
        <f>SUM(AC207:AF207)</f>
        <v>-12331.904046950134</v>
      </c>
      <c r="AH207" s="33">
        <f t="shared" ref="AH207:AK207" si="415">-AH40*AH44</f>
        <v>-3517.7884486967955</v>
      </c>
      <c r="AI207" s="33">
        <f t="shared" si="415"/>
        <v>-3455.7413843780637</v>
      </c>
      <c r="AJ207" s="33">
        <f t="shared" si="415"/>
        <v>-3430.5493328599591</v>
      </c>
      <c r="AK207" s="934">
        <f t="shared" si="415"/>
        <v>-2929.3430480207185</v>
      </c>
      <c r="AL207" s="657">
        <f>SUM(AH207:AK207)</f>
        <v>-13333.422213955537</v>
      </c>
      <c r="AM207" s="33">
        <f t="shared" ref="AM207:AP207" si="416">-AM40*AM44</f>
        <v>-3864.179413784484</v>
      </c>
      <c r="AN207" s="33">
        <f t="shared" si="416"/>
        <v>-3768.5059210243026</v>
      </c>
      <c r="AO207" s="33">
        <f t="shared" si="416"/>
        <v>-3812.9699099455679</v>
      </c>
      <c r="AP207" s="33">
        <f t="shared" si="416"/>
        <v>-3187.9129179785114</v>
      </c>
      <c r="AQ207" s="657">
        <f>SUM(AM207:AP207)</f>
        <v>-14633.568162732867</v>
      </c>
    </row>
    <row r="208" spans="1:43" ht="15.75" customHeight="1" outlineLevel="1">
      <c r="B208" s="850" t="s">
        <v>244</v>
      </c>
      <c r="C208" s="851"/>
      <c r="D208" s="881"/>
      <c r="E208" s="881"/>
      <c r="F208" s="881"/>
      <c r="G208" s="880">
        <v>103.707469</v>
      </c>
      <c r="H208" s="891">
        <v>103.707469</v>
      </c>
      <c r="I208" s="197">
        <v>47.115991999999999</v>
      </c>
      <c r="J208" s="196">
        <f>1357.309075-I208</f>
        <v>1310.1930829999999</v>
      </c>
      <c r="K208" s="197">
        <f>1721.681855-SUM(I208:J208)</f>
        <v>364.37278000000015</v>
      </c>
      <c r="L208" s="873">
        <f t="shared" si="411"/>
        <v>69.320938000000069</v>
      </c>
      <c r="M208" s="888">
        <v>1791.0027930000001</v>
      </c>
      <c r="N208" s="197">
        <v>91.245510999999993</v>
      </c>
      <c r="O208" s="196">
        <f>101.962911-N208</f>
        <v>10.717400000000012</v>
      </c>
      <c r="P208" s="197">
        <f>18.19193-SUM(N208:O208)</f>
        <v>-83.770981000000006</v>
      </c>
      <c r="Q208" s="873">
        <f t="shared" si="412"/>
        <v>54.504283000000001</v>
      </c>
      <c r="R208" s="888">
        <v>72.696213</v>
      </c>
      <c r="S208" s="137">
        <v>-202.07219499999999</v>
      </c>
      <c r="T208" s="220">
        <f>-S208</f>
        <v>202.07219499999999</v>
      </c>
      <c r="U208" s="220">
        <f>-SUM(S208:T208)</f>
        <v>0</v>
      </c>
      <c r="V208" s="137">
        <f t="shared" si="413"/>
        <v>0</v>
      </c>
      <c r="W208" s="681"/>
      <c r="X208" s="137"/>
      <c r="Y208" s="137"/>
      <c r="Z208" s="137"/>
      <c r="AA208" s="137" t="s">
        <v>84</v>
      </c>
      <c r="AB208" s="913" t="s">
        <v>84</v>
      </c>
      <c r="AC208" s="137" t="s">
        <v>84</v>
      </c>
      <c r="AD208" s="137" t="s">
        <v>84</v>
      </c>
      <c r="AE208" s="137" t="s">
        <v>84</v>
      </c>
      <c r="AF208" s="137" t="s">
        <v>84</v>
      </c>
      <c r="AG208" s="913" t="s">
        <v>84</v>
      </c>
      <c r="AH208" s="137" t="s">
        <v>84</v>
      </c>
      <c r="AI208" s="137" t="s">
        <v>84</v>
      </c>
      <c r="AJ208" s="137" t="s">
        <v>84</v>
      </c>
      <c r="AK208" s="935" t="s">
        <v>84</v>
      </c>
      <c r="AL208" s="913" t="s">
        <v>84</v>
      </c>
      <c r="AM208" s="137" t="s">
        <v>84</v>
      </c>
      <c r="AN208" s="137" t="s">
        <v>84</v>
      </c>
      <c r="AO208" s="137" t="s">
        <v>84</v>
      </c>
      <c r="AP208" s="137" t="s">
        <v>84</v>
      </c>
      <c r="AQ208" s="913" t="s">
        <v>84</v>
      </c>
    </row>
    <row r="209" spans="2:43" ht="15.75" customHeight="1" outlineLevel="1">
      <c r="B209" s="849" t="s">
        <v>245</v>
      </c>
      <c r="C209" s="848"/>
      <c r="D209" s="881"/>
      <c r="E209" s="881"/>
      <c r="F209" s="881"/>
      <c r="G209" s="880">
        <v>0.5</v>
      </c>
      <c r="H209" s="891">
        <v>0.5</v>
      </c>
      <c r="I209" s="882"/>
      <c r="J209" s="882"/>
      <c r="K209" s="882"/>
      <c r="L209" s="873"/>
      <c r="M209" s="903"/>
      <c r="N209" s="882"/>
      <c r="O209" s="882"/>
      <c r="P209" s="882"/>
      <c r="Q209" s="873"/>
      <c r="R209" s="903"/>
      <c r="S209" s="220"/>
      <c r="T209" s="220"/>
      <c r="U209" s="220"/>
      <c r="V209" s="137"/>
      <c r="W209" s="918"/>
      <c r="X209" s="220"/>
      <c r="Y209" s="220"/>
      <c r="Z209" s="220"/>
      <c r="AA209" s="220" t="s">
        <v>84</v>
      </c>
      <c r="AB209" s="925" t="s">
        <v>84</v>
      </c>
      <c r="AC209" s="220" t="s">
        <v>84</v>
      </c>
      <c r="AD209" s="220" t="s">
        <v>84</v>
      </c>
      <c r="AE209" s="220" t="s">
        <v>84</v>
      </c>
      <c r="AF209" s="220" t="s">
        <v>84</v>
      </c>
      <c r="AG209" s="925" t="s">
        <v>84</v>
      </c>
      <c r="AH209" s="220" t="s">
        <v>84</v>
      </c>
      <c r="AI209" s="220" t="s">
        <v>84</v>
      </c>
      <c r="AJ209" s="220" t="s">
        <v>84</v>
      </c>
      <c r="AK209" s="940" t="s">
        <v>84</v>
      </c>
      <c r="AL209" s="925" t="s">
        <v>84</v>
      </c>
      <c r="AM209" s="220" t="s">
        <v>84</v>
      </c>
      <c r="AN209" s="220" t="s">
        <v>84</v>
      </c>
      <c r="AO209" s="220" t="s">
        <v>84</v>
      </c>
      <c r="AP209" s="220" t="s">
        <v>84</v>
      </c>
      <c r="AQ209" s="925" t="s">
        <v>84</v>
      </c>
    </row>
    <row r="210" spans="2:43" ht="15.75" customHeight="1" outlineLevel="1">
      <c r="B210" s="850" t="s">
        <v>246</v>
      </c>
      <c r="C210" s="851"/>
      <c r="D210" s="881"/>
      <c r="E210" s="881"/>
      <c r="F210" s="881"/>
      <c r="G210" s="881"/>
      <c r="H210" s="890"/>
      <c r="I210" s="197">
        <v>-271.76007399999997</v>
      </c>
      <c r="J210" s="196">
        <f>-275.757523-I210</f>
        <v>-3.9974490000000173</v>
      </c>
      <c r="K210" s="880">
        <f>-300.14646-SUM(I210:J210)</f>
        <v>-24.388936999999999</v>
      </c>
      <c r="L210" s="873">
        <f t="shared" ref="L210:L211" si="417">M210-SUM(I210:K210)</f>
        <v>300.14645999999999</v>
      </c>
      <c r="M210" s="891"/>
      <c r="N210" s="882"/>
      <c r="O210" s="882"/>
      <c r="P210" s="880"/>
      <c r="Q210" s="873">
        <f>R210-SUM(N210:P210)</f>
        <v>-32.229858999999998</v>
      </c>
      <c r="R210" s="888">
        <v>-32.229858999999998</v>
      </c>
      <c r="S210" s="220"/>
      <c r="T210" s="220"/>
      <c r="U210" s="220"/>
      <c r="V210" s="137"/>
      <c r="W210" s="918"/>
      <c r="X210" s="220"/>
      <c r="Y210" s="220"/>
      <c r="Z210" s="220"/>
      <c r="AA210" s="220" t="s">
        <v>84</v>
      </c>
      <c r="AB210" s="925" t="s">
        <v>84</v>
      </c>
      <c r="AC210" s="220" t="s">
        <v>84</v>
      </c>
      <c r="AD210" s="220" t="s">
        <v>84</v>
      </c>
      <c r="AE210" s="220" t="s">
        <v>84</v>
      </c>
      <c r="AF210" s="220" t="s">
        <v>84</v>
      </c>
      <c r="AG210" s="925" t="s">
        <v>84</v>
      </c>
      <c r="AH210" s="220" t="s">
        <v>84</v>
      </c>
      <c r="AI210" s="220" t="s">
        <v>84</v>
      </c>
      <c r="AJ210" s="220" t="s">
        <v>84</v>
      </c>
      <c r="AK210" s="940" t="s">
        <v>84</v>
      </c>
      <c r="AL210" s="925" t="s">
        <v>84</v>
      </c>
      <c r="AM210" s="220" t="s">
        <v>84</v>
      </c>
      <c r="AN210" s="220" t="s">
        <v>84</v>
      </c>
      <c r="AO210" s="220" t="s">
        <v>84</v>
      </c>
      <c r="AP210" s="220" t="s">
        <v>84</v>
      </c>
      <c r="AQ210" s="925" t="s">
        <v>84</v>
      </c>
    </row>
    <row r="211" spans="2:43" ht="15.75" customHeight="1" outlineLevel="1">
      <c r="B211" s="845" t="s">
        <v>247</v>
      </c>
      <c r="C211" s="848"/>
      <c r="D211" s="881"/>
      <c r="E211" s="881"/>
      <c r="F211" s="881"/>
      <c r="G211" s="881"/>
      <c r="H211" s="890"/>
      <c r="I211" s="882"/>
      <c r="J211" s="882"/>
      <c r="K211" s="197">
        <f>-22.697218-SUM(I211:J211)</f>
        <v>-22.697217999999999</v>
      </c>
      <c r="L211" s="873">
        <f t="shared" si="417"/>
        <v>22.697217999999999</v>
      </c>
      <c r="M211" s="891"/>
      <c r="N211" s="882"/>
      <c r="O211" s="882"/>
      <c r="P211" s="880"/>
      <c r="Q211" s="873"/>
      <c r="R211" s="892"/>
      <c r="S211" s="220"/>
      <c r="T211" s="220"/>
      <c r="U211" s="220"/>
      <c r="V211" s="137"/>
      <c r="W211" s="918"/>
      <c r="X211" s="220"/>
      <c r="Y211" s="220"/>
      <c r="Z211" s="220"/>
      <c r="AA211" s="220" t="s">
        <v>84</v>
      </c>
      <c r="AB211" s="925" t="s">
        <v>84</v>
      </c>
      <c r="AC211" s="220" t="s">
        <v>84</v>
      </c>
      <c r="AD211" s="220" t="s">
        <v>84</v>
      </c>
      <c r="AE211" s="220" t="s">
        <v>84</v>
      </c>
      <c r="AF211" s="220" t="s">
        <v>84</v>
      </c>
      <c r="AG211" s="925" t="s">
        <v>84</v>
      </c>
      <c r="AH211" s="220" t="s">
        <v>84</v>
      </c>
      <c r="AI211" s="220" t="s">
        <v>84</v>
      </c>
      <c r="AJ211" s="220" t="s">
        <v>84</v>
      </c>
      <c r="AK211" s="940" t="s">
        <v>84</v>
      </c>
      <c r="AL211" s="925" t="s">
        <v>84</v>
      </c>
      <c r="AM211" s="220" t="s">
        <v>84</v>
      </c>
      <c r="AN211" s="220" t="s">
        <v>84</v>
      </c>
      <c r="AO211" s="220" t="s">
        <v>84</v>
      </c>
      <c r="AP211" s="220" t="s">
        <v>84</v>
      </c>
      <c r="AQ211" s="925" t="s">
        <v>84</v>
      </c>
    </row>
    <row r="212" spans="2:43" ht="15.75" customHeight="1" outlineLevel="1">
      <c r="B212" s="849" t="s">
        <v>248</v>
      </c>
      <c r="C212" s="848"/>
      <c r="D212" s="881"/>
      <c r="E212" s="881"/>
      <c r="F212" s="881"/>
      <c r="G212" s="881"/>
      <c r="H212" s="890"/>
      <c r="I212" s="882"/>
      <c r="J212" s="882"/>
      <c r="K212" s="882"/>
      <c r="L212" s="873"/>
      <c r="M212" s="903"/>
      <c r="N212" s="882"/>
      <c r="O212" s="882"/>
      <c r="P212" s="882"/>
      <c r="Q212" s="873"/>
      <c r="R212" s="903"/>
      <c r="S212" s="220"/>
      <c r="T212" s="220"/>
      <c r="U212" s="220"/>
      <c r="V212" s="137">
        <f t="shared" ref="V212:V214" si="418">W212-SUM(S212:U212)</f>
        <v>-37.699634000000003</v>
      </c>
      <c r="W212" s="918">
        <v>-37.699634000000003</v>
      </c>
      <c r="X212" s="220"/>
      <c r="Y212" s="220"/>
      <c r="Z212" s="220"/>
      <c r="AA212" s="220" t="s">
        <v>84</v>
      </c>
      <c r="AB212" s="925" t="s">
        <v>84</v>
      </c>
      <c r="AC212" s="220" t="s">
        <v>84</v>
      </c>
      <c r="AD212" s="220" t="s">
        <v>84</v>
      </c>
      <c r="AE212" s="220" t="s">
        <v>84</v>
      </c>
      <c r="AF212" s="220" t="s">
        <v>84</v>
      </c>
      <c r="AG212" s="925" t="s">
        <v>84</v>
      </c>
      <c r="AH212" s="220" t="s">
        <v>84</v>
      </c>
      <c r="AI212" s="220" t="s">
        <v>84</v>
      </c>
      <c r="AJ212" s="220" t="s">
        <v>84</v>
      </c>
      <c r="AK212" s="940" t="s">
        <v>84</v>
      </c>
      <c r="AL212" s="925" t="s">
        <v>84</v>
      </c>
      <c r="AM212" s="220" t="s">
        <v>84</v>
      </c>
      <c r="AN212" s="220" t="s">
        <v>84</v>
      </c>
      <c r="AO212" s="220" t="s">
        <v>84</v>
      </c>
      <c r="AP212" s="220" t="s">
        <v>84</v>
      </c>
      <c r="AQ212" s="925" t="s">
        <v>84</v>
      </c>
    </row>
    <row r="213" spans="2:43" ht="15.75" customHeight="1" outlineLevel="1">
      <c r="B213" s="847" t="s">
        <v>249</v>
      </c>
      <c r="C213" s="851"/>
      <c r="D213" s="881"/>
      <c r="E213" s="881"/>
      <c r="F213" s="881"/>
      <c r="G213" s="881"/>
      <c r="H213" s="890"/>
      <c r="I213" s="882"/>
      <c r="J213" s="882"/>
      <c r="K213" s="882"/>
      <c r="L213" s="873"/>
      <c r="M213" s="903"/>
      <c r="N213" s="882"/>
      <c r="O213" s="882"/>
      <c r="P213" s="882"/>
      <c r="Q213" s="873"/>
      <c r="R213" s="903"/>
      <c r="S213" s="220"/>
      <c r="T213" s="197">
        <f>-371.406157-S213</f>
        <v>-371.40615700000001</v>
      </c>
      <c r="U213" s="197">
        <f>-438.956097-T213</f>
        <v>-67.549939999999992</v>
      </c>
      <c r="V213" s="137">
        <f t="shared" si="418"/>
        <v>-118.93062799999996</v>
      </c>
      <c r="W213" s="681">
        <v>-557.88672499999996</v>
      </c>
      <c r="X213" s="137">
        <v>-64.896101000000002</v>
      </c>
      <c r="Y213" s="197">
        <f>-298.420282-X213</f>
        <v>-233.524181</v>
      </c>
      <c r="Z213" s="197">
        <f>-451.285112-SUM(X213:Y213)</f>
        <v>-152.86483000000004</v>
      </c>
      <c r="AA213" s="194">
        <f>AA110-Z110</f>
        <v>255.34693240274379</v>
      </c>
      <c r="AB213" s="657">
        <f>SUM(X213:AA213)</f>
        <v>-195.93817959725624</v>
      </c>
      <c r="AC213" s="33">
        <f t="shared" ref="AC213:AF213" si="419">AC110-AB110</f>
        <v>-43.697302230880041</v>
      </c>
      <c r="AD213" s="33">
        <f t="shared" si="419"/>
        <v>-17.524946348951403</v>
      </c>
      <c r="AE213" s="33">
        <f t="shared" si="419"/>
        <v>7.3709781356175199</v>
      </c>
      <c r="AF213" s="33">
        <f t="shared" si="419"/>
        <v>57.434878335241251</v>
      </c>
      <c r="AG213" s="657">
        <f>SUM(AC213:AF213)</f>
        <v>3.5836078910273272</v>
      </c>
      <c r="AH213" s="33">
        <f t="shared" ref="AH213:AK213" si="420">AH110-AG110</f>
        <v>1.4210893481332505</v>
      </c>
      <c r="AI213" s="33">
        <f t="shared" si="420"/>
        <v>13.544817293918754</v>
      </c>
      <c r="AJ213" s="33">
        <f t="shared" si="420"/>
        <v>21.42726469727404</v>
      </c>
      <c r="AK213" s="934">
        <f t="shared" si="420"/>
        <v>22.024397801095347</v>
      </c>
      <c r="AL213" s="657">
        <f>SUM(AH213:AK213)</f>
        <v>58.417569140421392</v>
      </c>
      <c r="AM213" s="65">
        <f t="shared" ref="AM213:AP213" si="421">AM110-AL110</f>
        <v>17.098463950320934</v>
      </c>
      <c r="AN213" s="65">
        <f t="shared" si="421"/>
        <v>20.833603685756088</v>
      </c>
      <c r="AO213" s="65">
        <f t="shared" si="421"/>
        <v>21.62161492208088</v>
      </c>
      <c r="AP213" s="65">
        <f t="shared" si="421"/>
        <v>17.908922389362147</v>
      </c>
      <c r="AQ213" s="671">
        <f>SUM(AM213:AP213)</f>
        <v>77.462604947520049</v>
      </c>
    </row>
    <row r="214" spans="2:43" ht="15.75" customHeight="1" outlineLevel="1">
      <c r="B214" s="852" t="s">
        <v>250</v>
      </c>
      <c r="C214" s="848"/>
      <c r="D214" s="881"/>
      <c r="E214" s="881"/>
      <c r="F214" s="884">
        <v>-2976.8166919999999</v>
      </c>
      <c r="G214" s="884">
        <f>SUM(G207:G213)</f>
        <v>-886.89941199999998</v>
      </c>
      <c r="H214" s="892">
        <v>-3863.7161040000001</v>
      </c>
      <c r="I214" s="884">
        <f t="shared" ref="I214:L214" si="422">SUM(I207:I213)</f>
        <v>-224.64408199999997</v>
      </c>
      <c r="J214" s="884">
        <f t="shared" si="422"/>
        <v>1306.1956339999999</v>
      </c>
      <c r="K214" s="884">
        <f t="shared" si="422"/>
        <v>-4938.5988000000007</v>
      </c>
      <c r="L214" s="884">
        <f t="shared" si="422"/>
        <v>83.814271000000218</v>
      </c>
      <c r="M214" s="892">
        <f t="shared" ref="M214:P214" si="423">SUM(M207:M213)</f>
        <v>-3773.2329770000001</v>
      </c>
      <c r="N214" s="885">
        <f t="shared" si="423"/>
        <v>88.859537999999986</v>
      </c>
      <c r="O214" s="885">
        <f t="shared" si="423"/>
        <v>9.2970200000000123</v>
      </c>
      <c r="P214" s="885">
        <f t="shared" si="423"/>
        <v>-8873.1297070000001</v>
      </c>
      <c r="Q214" s="875">
        <f>R214-SUM(N214:P214)</f>
        <v>12.521022999999332</v>
      </c>
      <c r="R214" s="892">
        <f>SUM(R206:R213)</f>
        <v>-8762.4521260000001</v>
      </c>
      <c r="S214" s="218">
        <f t="shared" ref="S214:U214" si="424">SUM(S207:S213)</f>
        <v>-209.07970799999998</v>
      </c>
      <c r="T214" s="218">
        <f t="shared" si="424"/>
        <v>-170.83459200000001</v>
      </c>
      <c r="U214" s="218">
        <f t="shared" si="424"/>
        <v>-9284.2838380000012</v>
      </c>
      <c r="V214" s="218">
        <f t="shared" si="418"/>
        <v>-168.43835199999921</v>
      </c>
      <c r="W214" s="919">
        <v>-9832.6364900000008</v>
      </c>
      <c r="X214" s="218">
        <f t="shared" ref="X214:Z214" si="425">SUM(X207:X213)</f>
        <v>-68.242008999999996</v>
      </c>
      <c r="Y214" s="218">
        <f t="shared" si="425"/>
        <v>-236.050129</v>
      </c>
      <c r="Z214" s="218">
        <f t="shared" si="425"/>
        <v>-9798.737599</v>
      </c>
      <c r="AA214" s="223">
        <f t="shared" ref="AA214:AQ214" si="426">SUM(AA207:AA213)</f>
        <v>-2512.3854678019675</v>
      </c>
      <c r="AB214" s="927">
        <f t="shared" si="426"/>
        <v>-12615.415204801968</v>
      </c>
      <c r="AC214" s="223">
        <f t="shared" si="426"/>
        <v>-3350.9172870994362</v>
      </c>
      <c r="AD214" s="223">
        <f t="shared" si="426"/>
        <v>-3233.8888972348432</v>
      </c>
      <c r="AE214" s="223">
        <f t="shared" si="426"/>
        <v>-3093.1686923300726</v>
      </c>
      <c r="AF214" s="223">
        <f t="shared" si="426"/>
        <v>-2650.3455623947543</v>
      </c>
      <c r="AG214" s="927">
        <f t="shared" si="426"/>
        <v>-12328.320439059107</v>
      </c>
      <c r="AH214" s="223">
        <f t="shared" si="426"/>
        <v>-3516.3673593486624</v>
      </c>
      <c r="AI214" s="223">
        <f t="shared" si="426"/>
        <v>-3442.196567084145</v>
      </c>
      <c r="AJ214" s="223">
        <f t="shared" si="426"/>
        <v>-3409.1220681626851</v>
      </c>
      <c r="AK214" s="942">
        <f t="shared" si="426"/>
        <v>-2907.3186502196231</v>
      </c>
      <c r="AL214" s="927">
        <f t="shared" si="426"/>
        <v>-13275.004644815115</v>
      </c>
      <c r="AM214" s="223">
        <f t="shared" si="426"/>
        <v>-3847.0809498341632</v>
      </c>
      <c r="AN214" s="223">
        <f t="shared" si="426"/>
        <v>-3747.6723173385462</v>
      </c>
      <c r="AO214" s="223">
        <f t="shared" si="426"/>
        <v>-3791.348295023487</v>
      </c>
      <c r="AP214" s="223">
        <f t="shared" si="426"/>
        <v>-3170.0039955891493</v>
      </c>
      <c r="AQ214" s="927">
        <f t="shared" si="426"/>
        <v>-14556.105557785348</v>
      </c>
    </row>
    <row r="215" spans="2:43" ht="15.75" customHeight="1" outlineLevel="1">
      <c r="B215" s="765"/>
      <c r="C215" s="736"/>
      <c r="D215" s="881"/>
      <c r="E215" s="881"/>
      <c r="F215" s="881"/>
      <c r="G215" s="881"/>
      <c r="H215" s="890"/>
      <c r="I215" s="882"/>
      <c r="J215" s="882"/>
      <c r="K215" s="882"/>
      <c r="L215" s="873"/>
      <c r="M215" s="903"/>
      <c r="N215" s="882"/>
      <c r="O215" s="882"/>
      <c r="P215" s="882"/>
      <c r="Q215" s="873"/>
      <c r="R215" s="892"/>
      <c r="S215" s="220"/>
      <c r="T215" s="220"/>
      <c r="U215" s="220"/>
      <c r="V215" s="137"/>
      <c r="W215" s="918"/>
      <c r="X215" s="220"/>
      <c r="Y215" s="220"/>
      <c r="Z215" s="220"/>
      <c r="AB215" s="657"/>
      <c r="AC215" s="224"/>
      <c r="AD215" s="224"/>
      <c r="AE215" s="224"/>
      <c r="AF215" s="224"/>
      <c r="AG215" s="657"/>
      <c r="AH215" s="224"/>
      <c r="AI215" s="224"/>
      <c r="AJ215" s="224"/>
      <c r="AK215" s="943"/>
      <c r="AL215" s="657"/>
      <c r="AM215" s="68"/>
      <c r="AN215" s="68"/>
      <c r="AO215" s="68"/>
      <c r="AP215" s="68"/>
      <c r="AQ215" s="672"/>
    </row>
    <row r="216" spans="2:43" ht="15.75" customHeight="1" outlineLevel="1">
      <c r="B216" s="852" t="s">
        <v>251</v>
      </c>
      <c r="C216" s="848"/>
      <c r="D216" s="880">
        <v>4278.6081510000004</v>
      </c>
      <c r="E216" s="880">
        <v>3502.3563479999998</v>
      </c>
      <c r="F216" s="880">
        <v>145.55848900000001</v>
      </c>
      <c r="G216" s="880">
        <v>2837.571684</v>
      </c>
      <c r="H216" s="891">
        <v>10764.09467</v>
      </c>
      <c r="I216" s="880">
        <f t="shared" ref="I216:K216" si="427">I214+I204+I189</f>
        <v>4931.7001330000003</v>
      </c>
      <c r="J216" s="880">
        <f t="shared" si="427"/>
        <v>3515.5038170000003</v>
      </c>
      <c r="K216" s="880">
        <f t="shared" si="427"/>
        <v>-3670.6117449999997</v>
      </c>
      <c r="L216" s="873">
        <f t="shared" ref="L216:L217" si="428">M216-SUM(I216:K216)</f>
        <v>355.2115989999993</v>
      </c>
      <c r="M216" s="891">
        <f t="shared" ref="M216:P216" si="429">M214+M204+M189</f>
        <v>5131.8038040000001</v>
      </c>
      <c r="N216" s="883">
        <f t="shared" si="429"/>
        <v>5035.9949219999999</v>
      </c>
      <c r="O216" s="883">
        <f t="shared" si="429"/>
        <v>1120.1845420000006</v>
      </c>
      <c r="P216" s="883">
        <f t="shared" si="429"/>
        <v>-5220.9040850000001</v>
      </c>
      <c r="Q216" s="873">
        <f t="shared" ref="Q216:Q217" si="430">R216-SUM(N216:P216)</f>
        <v>-328.16442200000165</v>
      </c>
      <c r="R216" s="892">
        <f t="shared" ref="R216:U216" si="431">R214+R204+R189</f>
        <v>607.11095699999896</v>
      </c>
      <c r="S216" s="137">
        <f t="shared" si="431"/>
        <v>6604.0023870000005</v>
      </c>
      <c r="T216" s="137">
        <f t="shared" si="431"/>
        <v>965.10570899999993</v>
      </c>
      <c r="U216" s="137">
        <f t="shared" si="431"/>
        <v>-9388.5390979999975</v>
      </c>
      <c r="V216" s="137">
        <f t="shared" ref="V216:V217" si="432">W216-SUM(S216:U216)</f>
        <v>3466.6771579999977</v>
      </c>
      <c r="W216" s="919">
        <v>1647.2461559999999</v>
      </c>
      <c r="X216" s="218">
        <f t="shared" ref="X216:Z216" si="433">X214+X204+X189</f>
        <v>3109.0815270000026</v>
      </c>
      <c r="Y216" s="218">
        <f t="shared" si="433"/>
        <v>2453.622580899998</v>
      </c>
      <c r="Z216" s="218">
        <f t="shared" si="433"/>
        <v>-7309.6457558999982</v>
      </c>
      <c r="AA216" s="194">
        <f t="shared" ref="AA216:AQ216" si="434">AA189+AA204+AA214</f>
        <v>9939.230683095755</v>
      </c>
      <c r="AB216" s="928">
        <f t="shared" si="434"/>
        <v>8192.2890350957496</v>
      </c>
      <c r="AC216" s="194">
        <f t="shared" si="434"/>
        <v>-11361.224287010627</v>
      </c>
      <c r="AD216" s="194">
        <f t="shared" si="434"/>
        <v>22696.408912700594</v>
      </c>
      <c r="AE216" s="194">
        <f t="shared" si="434"/>
        <v>-6612.3888843142977</v>
      </c>
      <c r="AF216" s="194">
        <f t="shared" si="434"/>
        <v>10050.352379522941</v>
      </c>
      <c r="AG216" s="923">
        <f t="shared" si="434"/>
        <v>14773.148120898606</v>
      </c>
      <c r="AH216" s="194">
        <f t="shared" si="434"/>
        <v>-17518.803759150789</v>
      </c>
      <c r="AI216" s="194">
        <f t="shared" si="434"/>
        <v>24389.95116892755</v>
      </c>
      <c r="AJ216" s="194">
        <f t="shared" si="434"/>
        <v>-16442.805841934296</v>
      </c>
      <c r="AK216" s="938">
        <f t="shared" si="434"/>
        <v>25857.89382213114</v>
      </c>
      <c r="AL216" s="923">
        <f t="shared" si="434"/>
        <v>16286.235389973601</v>
      </c>
      <c r="AM216" s="194">
        <f t="shared" si="434"/>
        <v>-25429.39250457731</v>
      </c>
      <c r="AN216" s="194">
        <f t="shared" si="434"/>
        <v>14739.973416293084</v>
      </c>
      <c r="AO216" s="194">
        <f t="shared" si="434"/>
        <v>-2403.0204933953378</v>
      </c>
      <c r="AP216" s="194">
        <f t="shared" si="434"/>
        <v>13699.292052492956</v>
      </c>
      <c r="AQ216" s="923">
        <f t="shared" si="434"/>
        <v>606.85247081337548</v>
      </c>
    </row>
    <row r="217" spans="2:43" ht="15.75" customHeight="1" outlineLevel="1">
      <c r="B217" s="845" t="s">
        <v>252</v>
      </c>
      <c r="C217" s="848"/>
      <c r="D217" s="880">
        <v>-7.7596959999999999</v>
      </c>
      <c r="E217" s="880">
        <v>1.004753</v>
      </c>
      <c r="F217" s="880">
        <v>-2.0424609999999999</v>
      </c>
      <c r="G217" s="880">
        <v>44.412298</v>
      </c>
      <c r="H217" s="891">
        <v>35.614894</v>
      </c>
      <c r="I217" s="197">
        <v>16.359221999999999</v>
      </c>
      <c r="J217" s="196">
        <f>14.357306-I217</f>
        <v>-2.0019159999999996</v>
      </c>
      <c r="K217" s="197">
        <f>25.281415-SUM(I217:J217)</f>
        <v>10.924109</v>
      </c>
      <c r="L217" s="873">
        <f t="shared" si="428"/>
        <v>441.37411300000002</v>
      </c>
      <c r="M217" s="888">
        <v>466.655528</v>
      </c>
      <c r="N217" s="197">
        <v>414.87510099999997</v>
      </c>
      <c r="O217" s="196">
        <f>505.715969-N217</f>
        <v>90.840868</v>
      </c>
      <c r="P217" s="197">
        <f>593.106506-SUM(N217:O217)</f>
        <v>87.390536999999995</v>
      </c>
      <c r="Q217" s="873">
        <f t="shared" si="430"/>
        <v>-68.393942999999922</v>
      </c>
      <c r="R217" s="888">
        <v>524.71256300000005</v>
      </c>
      <c r="S217" s="137">
        <v>53.736579999999996</v>
      </c>
      <c r="T217" s="197">
        <f>-0.226201-S217</f>
        <v>-53.962781</v>
      </c>
      <c r="U217" s="197">
        <f>125.692757-SUM(S217:T217)</f>
        <v>125.918958</v>
      </c>
      <c r="V217" s="137">
        <f t="shared" si="432"/>
        <v>146.19897499999999</v>
      </c>
      <c r="W217" s="681">
        <v>271.89173199999999</v>
      </c>
      <c r="X217" s="137">
        <v>166.21454700000001</v>
      </c>
      <c r="Y217" s="197">
        <f>176.672654-X217</f>
        <v>10.458106999999984</v>
      </c>
      <c r="Z217" s="197">
        <f>254.454188-SUM(X217:Y217)</f>
        <v>77.781533999999994</v>
      </c>
      <c r="AA217" s="194">
        <f>AA218*AA240</f>
        <v>150.63749050745275</v>
      </c>
      <c r="AB217" s="923">
        <f>SUM(X217:AA217)</f>
        <v>405.09167850745274</v>
      </c>
      <c r="AC217" s="194">
        <f t="shared" ref="AC217:AF217" si="435">AC218*AC240</f>
        <v>156.14083696070594</v>
      </c>
      <c r="AD217" s="194">
        <f t="shared" si="435"/>
        <v>8.8298099615835444</v>
      </c>
      <c r="AE217" s="194">
        <f t="shared" si="435"/>
        <v>75.88576197979036</v>
      </c>
      <c r="AF217" s="194">
        <f t="shared" si="435"/>
        <v>195.52230611085434</v>
      </c>
      <c r="AG217" s="923">
        <f>SUM(AC217:AF217)</f>
        <v>436.37871501293421</v>
      </c>
      <c r="AH217" s="194">
        <f t="shared" ref="AH217:AK217" si="436">AH218*AH240</f>
        <v>195.32241293230868</v>
      </c>
      <c r="AI217" s="194">
        <f t="shared" si="436"/>
        <v>10.454578930681818</v>
      </c>
      <c r="AJ217" s="194">
        <f t="shared" si="436"/>
        <v>87.236683985452913</v>
      </c>
      <c r="AK217" s="938">
        <f t="shared" si="436"/>
        <v>198.40627850334241</v>
      </c>
      <c r="AL217" s="923">
        <f>SUM(AH217:AK217)</f>
        <v>491.4199543517858</v>
      </c>
      <c r="AM217" s="194">
        <f t="shared" ref="AM217:AP217" si="437">AM218*AM240</f>
        <v>238.43910879418041</v>
      </c>
      <c r="AN217" s="194">
        <f t="shared" si="437"/>
        <v>173.57262129781381</v>
      </c>
      <c r="AO217" s="194">
        <f t="shared" si="437"/>
        <v>86.664924699775767</v>
      </c>
      <c r="AP217" s="194">
        <f t="shared" si="437"/>
        <v>81.794768730597994</v>
      </c>
      <c r="AQ217" s="923">
        <f>SUM(AM217:AP217)</f>
        <v>580.47142352236801</v>
      </c>
    </row>
    <row r="218" spans="2:43" ht="15.75" customHeight="1" outlineLevel="1">
      <c r="B218" s="845" t="s">
        <v>253</v>
      </c>
      <c r="C218" s="848"/>
      <c r="D218" s="880">
        <v>32564.329440000001</v>
      </c>
      <c r="E218" s="880">
        <v>36835.177889999999</v>
      </c>
      <c r="F218" s="880">
        <v>40338.538990000001</v>
      </c>
      <c r="G218" s="880">
        <v>40482.05502</v>
      </c>
      <c r="H218" s="891">
        <v>32564.329440000001</v>
      </c>
      <c r="I218" s="880">
        <f t="shared" ref="I218:L218" si="438">H219</f>
        <v>43364.038999999997</v>
      </c>
      <c r="J218" s="880">
        <f t="shared" si="438"/>
        <v>48312.098354999995</v>
      </c>
      <c r="K218" s="880">
        <f t="shared" si="438"/>
        <v>51825.600255999998</v>
      </c>
      <c r="L218" s="880">
        <f t="shared" si="438"/>
        <v>48165.912619999996</v>
      </c>
      <c r="M218" s="891">
        <f>H219</f>
        <v>43364.038999999997</v>
      </c>
      <c r="N218" s="880">
        <f t="shared" ref="N218:Q218" si="439">M219</f>
        <v>48962.498331999996</v>
      </c>
      <c r="O218" s="880">
        <f t="shared" si="439"/>
        <v>54413.368354999999</v>
      </c>
      <c r="P218" s="880">
        <f t="shared" si="439"/>
        <v>55624.393765000001</v>
      </c>
      <c r="Q218" s="880">
        <f t="shared" si="439"/>
        <v>50490.880216999998</v>
      </c>
      <c r="R218" s="892">
        <f>M219</f>
        <v>48962.498331999996</v>
      </c>
      <c r="S218" s="137">
        <f t="shared" ref="S218:V218" si="440">R219</f>
        <v>50094.321851999994</v>
      </c>
      <c r="T218" s="137">
        <f t="shared" si="440"/>
        <v>56752.060818999991</v>
      </c>
      <c r="U218" s="137">
        <f t="shared" si="440"/>
        <v>57663.203746999992</v>
      </c>
      <c r="V218" s="137">
        <f t="shared" si="440"/>
        <v>48400.583606999993</v>
      </c>
      <c r="W218" s="681">
        <v>50094.32185</v>
      </c>
      <c r="X218" s="137">
        <v>52013.459739999998</v>
      </c>
      <c r="Y218" s="137">
        <v>55288.755190000003</v>
      </c>
      <c r="Z218" s="137">
        <f>Y219</f>
        <v>57752.835877900005</v>
      </c>
      <c r="AA218" s="218">
        <v>50520.972280000002</v>
      </c>
      <c r="AB218" s="928">
        <f>W219</f>
        <v>52013.459739999998</v>
      </c>
      <c r="AC218" s="225">
        <f t="shared" ref="AC218:AF218" si="441">AB219</f>
        <v>60610.840453603203</v>
      </c>
      <c r="AD218" s="225">
        <f t="shared" si="441"/>
        <v>49405.757003553284</v>
      </c>
      <c r="AE218" s="225">
        <f t="shared" si="441"/>
        <v>72110.995726215464</v>
      </c>
      <c r="AF218" s="225">
        <f t="shared" si="441"/>
        <v>65574.49260388095</v>
      </c>
      <c r="AG218" s="928">
        <f>AB219</f>
        <v>60610.840453603203</v>
      </c>
      <c r="AH218" s="225">
        <f t="shared" ref="AH218:AK218" si="442">AG219</f>
        <v>75820.367289514747</v>
      </c>
      <c r="AI218" s="225">
        <f t="shared" si="442"/>
        <v>58496.885943296264</v>
      </c>
      <c r="AJ218" s="225">
        <f t="shared" si="442"/>
        <v>82897.291691154503</v>
      </c>
      <c r="AK218" s="944">
        <f t="shared" si="442"/>
        <v>66541.722533205655</v>
      </c>
      <c r="AL218" s="928">
        <f>AG219</f>
        <v>75820.367289514747</v>
      </c>
      <c r="AM218" s="225">
        <f t="shared" ref="AM218:AP218" si="443">AL219</f>
        <v>92598.022633840126</v>
      </c>
      <c r="AN218" s="225">
        <f t="shared" si="443"/>
        <v>67407.069238056996</v>
      </c>
      <c r="AO218" s="225">
        <f t="shared" si="443"/>
        <v>82320.615275647899</v>
      </c>
      <c r="AP218" s="225">
        <f t="shared" si="443"/>
        <v>80004.259706952333</v>
      </c>
      <c r="AQ218" s="928">
        <f>AL219</f>
        <v>92598.022633840126</v>
      </c>
    </row>
    <row r="219" spans="2:43" ht="15.75" customHeight="1">
      <c r="B219" s="852" t="s">
        <v>254</v>
      </c>
      <c r="C219" s="848"/>
      <c r="D219" s="884">
        <v>36835.177889999999</v>
      </c>
      <c r="E219" s="884">
        <v>40338.538990000001</v>
      </c>
      <c r="F219" s="884">
        <v>40482.05502</v>
      </c>
      <c r="G219" s="884">
        <v>43364.038999999997</v>
      </c>
      <c r="H219" s="892">
        <v>43364.038999999997</v>
      </c>
      <c r="I219" s="884">
        <f t="shared" ref="I219:V219" si="444">SUM(I216:I218)</f>
        <v>48312.098354999995</v>
      </c>
      <c r="J219" s="884">
        <f t="shared" si="444"/>
        <v>51825.600255999998</v>
      </c>
      <c r="K219" s="884">
        <f t="shared" si="444"/>
        <v>48165.912619999996</v>
      </c>
      <c r="L219" s="884">
        <f t="shared" si="444"/>
        <v>48962.498331999996</v>
      </c>
      <c r="M219" s="892">
        <f t="shared" si="444"/>
        <v>48962.498331999996</v>
      </c>
      <c r="N219" s="885">
        <f t="shared" si="444"/>
        <v>54413.368354999999</v>
      </c>
      <c r="O219" s="885">
        <f t="shared" si="444"/>
        <v>55624.393765000001</v>
      </c>
      <c r="P219" s="885">
        <f t="shared" si="444"/>
        <v>50490.880216999998</v>
      </c>
      <c r="Q219" s="885">
        <f t="shared" si="444"/>
        <v>50094.321851999994</v>
      </c>
      <c r="R219" s="892">
        <f t="shared" si="444"/>
        <v>50094.321851999994</v>
      </c>
      <c r="S219" s="218">
        <f t="shared" si="444"/>
        <v>56752.060818999991</v>
      </c>
      <c r="T219" s="218">
        <f t="shared" si="444"/>
        <v>57663.203746999992</v>
      </c>
      <c r="U219" s="218">
        <f t="shared" si="444"/>
        <v>48400.583606999993</v>
      </c>
      <c r="V219" s="218">
        <f t="shared" si="444"/>
        <v>52013.459739999991</v>
      </c>
      <c r="W219" s="919">
        <v>52013.459739999998</v>
      </c>
      <c r="X219" s="218">
        <v>55288.755190000003</v>
      </c>
      <c r="Y219" s="218">
        <f t="shared" ref="Y219:AQ219" si="445">SUM(Y216:Y218)</f>
        <v>57752.835877900005</v>
      </c>
      <c r="Z219" s="218">
        <f t="shared" si="445"/>
        <v>50520.971656000009</v>
      </c>
      <c r="AA219" s="222">
        <f t="shared" si="445"/>
        <v>60610.84045360321</v>
      </c>
      <c r="AB219" s="926">
        <f t="shared" si="445"/>
        <v>60610.840453603203</v>
      </c>
      <c r="AC219" s="222">
        <f t="shared" si="445"/>
        <v>49405.757003553284</v>
      </c>
      <c r="AD219" s="222">
        <f t="shared" si="445"/>
        <v>72110.995726215464</v>
      </c>
      <c r="AE219" s="222">
        <f t="shared" si="445"/>
        <v>65574.49260388095</v>
      </c>
      <c r="AF219" s="222">
        <f t="shared" si="445"/>
        <v>75820.367289514747</v>
      </c>
      <c r="AG219" s="926">
        <f t="shared" si="445"/>
        <v>75820.367289514747</v>
      </c>
      <c r="AH219" s="222">
        <f t="shared" si="445"/>
        <v>58496.885943296264</v>
      </c>
      <c r="AI219" s="222">
        <f t="shared" si="445"/>
        <v>82897.291691154503</v>
      </c>
      <c r="AJ219" s="222">
        <f t="shared" si="445"/>
        <v>66541.722533205655</v>
      </c>
      <c r="AK219" s="941">
        <f t="shared" si="445"/>
        <v>92598.022633840141</v>
      </c>
      <c r="AL219" s="926">
        <f t="shared" si="445"/>
        <v>92598.022633840126</v>
      </c>
      <c r="AM219" s="222">
        <f t="shared" si="445"/>
        <v>67407.069238056996</v>
      </c>
      <c r="AN219" s="222">
        <f t="shared" si="445"/>
        <v>82320.615275647899</v>
      </c>
      <c r="AO219" s="222">
        <f t="shared" si="445"/>
        <v>80004.259706952333</v>
      </c>
      <c r="AP219" s="222">
        <f t="shared" si="445"/>
        <v>93785.346528175884</v>
      </c>
      <c r="AQ219" s="926">
        <f t="shared" si="445"/>
        <v>93785.346528175869</v>
      </c>
    </row>
    <row r="220" spans="2:43" ht="15.75" customHeight="1" outlineLevel="1">
      <c r="B220" s="853" t="s">
        <v>255</v>
      </c>
      <c r="C220" s="854"/>
      <c r="D220" s="226">
        <f t="shared" ref="D220:AQ220" si="446">D189-(-D192)+D28*(1-22.5%)</f>
        <v>2126.2076720000005</v>
      </c>
      <c r="E220" s="227">
        <f t="shared" si="446"/>
        <v>2702.057808</v>
      </c>
      <c r="F220" s="226">
        <f t="shared" si="446"/>
        <v>935.46161700000062</v>
      </c>
      <c r="G220" s="227">
        <f t="shared" si="446"/>
        <v>1459.0319769999992</v>
      </c>
      <c r="H220" s="893">
        <f t="shared" si="446"/>
        <v>7222.7590739999996</v>
      </c>
      <c r="I220" s="227">
        <f t="shared" si="446"/>
        <v>3973.1706509999999</v>
      </c>
      <c r="J220" s="226">
        <f t="shared" si="446"/>
        <v>1984.5153379999997</v>
      </c>
      <c r="K220" s="227">
        <f t="shared" si="446"/>
        <v>1165.3158000000008</v>
      </c>
      <c r="L220" s="226">
        <f t="shared" si="446"/>
        <v>-431.50151300000016</v>
      </c>
      <c r="M220" s="893">
        <f t="shared" si="446"/>
        <v>6691.5002759999998</v>
      </c>
      <c r="N220" s="226">
        <f t="shared" si="446"/>
        <v>4140.8858309999996</v>
      </c>
      <c r="O220" s="227">
        <f t="shared" si="446"/>
        <v>1377.6845110000004</v>
      </c>
      <c r="P220" s="226">
        <f t="shared" si="446"/>
        <v>1858.6861000000001</v>
      </c>
      <c r="Q220" s="227">
        <f t="shared" si="446"/>
        <v>-1655.8901340000007</v>
      </c>
      <c r="R220" s="908">
        <f t="shared" si="446"/>
        <v>5721.3663079999988</v>
      </c>
      <c r="S220" s="227">
        <f t="shared" si="446"/>
        <v>8039.4862340000009</v>
      </c>
      <c r="T220" s="226">
        <f t="shared" si="446"/>
        <v>3846.1212349999996</v>
      </c>
      <c r="U220" s="226">
        <f t="shared" si="446"/>
        <v>109.43656100000317</v>
      </c>
      <c r="V220" s="226">
        <f t="shared" si="446"/>
        <v>2352.5178809999979</v>
      </c>
      <c r="W220" s="893">
        <f t="shared" si="446"/>
        <v>14347.561911000001</v>
      </c>
      <c r="X220" s="226">
        <f t="shared" si="446"/>
        <v>1796.6803810000026</v>
      </c>
      <c r="Y220" s="227">
        <f t="shared" si="446"/>
        <v>2071.0495958999982</v>
      </c>
      <c r="Z220" s="227">
        <f t="shared" si="446"/>
        <v>1972.5843121000012</v>
      </c>
      <c r="AA220" s="226">
        <f t="shared" si="446"/>
        <v>11271.124442727611</v>
      </c>
      <c r="AB220" s="893">
        <f t="shared" si="446"/>
        <v>17111.438731727605</v>
      </c>
      <c r="AC220" s="226">
        <f t="shared" si="446"/>
        <v>-9304.8564624642695</v>
      </c>
      <c r="AD220" s="227">
        <f t="shared" si="446"/>
        <v>25551.953240887011</v>
      </c>
      <c r="AE220" s="226">
        <f t="shared" si="446"/>
        <v>-2438.0138348839128</v>
      </c>
      <c r="AF220" s="227">
        <f t="shared" si="446"/>
        <v>11655.923180272172</v>
      </c>
      <c r="AG220" s="908">
        <f t="shared" si="446"/>
        <v>25465.006123810999</v>
      </c>
      <c r="AH220" s="227">
        <f t="shared" si="446"/>
        <v>-14977.124505151673</v>
      </c>
      <c r="AI220" s="226">
        <f t="shared" si="446"/>
        <v>26081.260275401375</v>
      </c>
      <c r="AJ220" s="227">
        <f t="shared" si="446"/>
        <v>-13438.741591978047</v>
      </c>
      <c r="AK220" s="945">
        <f t="shared" si="446"/>
        <v>27693.084993102759</v>
      </c>
      <c r="AL220" s="893">
        <f t="shared" si="446"/>
        <v>25358.479171374413</v>
      </c>
      <c r="AM220" s="226">
        <f t="shared" si="446"/>
        <v>-22552.765853455763</v>
      </c>
      <c r="AN220" s="227">
        <f t="shared" si="446"/>
        <v>17487.892186215715</v>
      </c>
      <c r="AO220" s="226">
        <f t="shared" si="446"/>
        <v>234.22918964691416</v>
      </c>
      <c r="AP220" s="227">
        <f t="shared" si="446"/>
        <v>15693.561836980201</v>
      </c>
      <c r="AQ220" s="893">
        <f t="shared" si="446"/>
        <v>10862.917359387051</v>
      </c>
    </row>
    <row r="221" spans="2:43" ht="15.75" customHeight="1">
      <c r="B221" s="855" t="s">
        <v>256</v>
      </c>
      <c r="C221" s="856"/>
      <c r="D221" s="228"/>
      <c r="E221" s="229"/>
      <c r="F221" s="145"/>
      <c r="G221" s="80"/>
      <c r="H221" s="894"/>
      <c r="I221" s="228"/>
      <c r="J221" s="230"/>
      <c r="K221" s="80"/>
      <c r="L221" s="145"/>
      <c r="M221" s="904"/>
      <c r="N221" s="229"/>
      <c r="O221" s="229"/>
      <c r="P221" s="231"/>
      <c r="Q221" s="228"/>
      <c r="R221" s="909"/>
      <c r="S221" s="228"/>
      <c r="T221" s="229"/>
      <c r="U221" s="80"/>
      <c r="V221" s="145"/>
      <c r="W221" s="920"/>
      <c r="X221" s="229"/>
      <c r="Y221" s="229"/>
      <c r="Z221" s="232"/>
      <c r="AA221" s="233"/>
      <c r="AB221" s="929">
        <v>0.25</v>
      </c>
      <c r="AC221" s="109"/>
      <c r="AD221" s="109"/>
      <c r="AE221" s="206"/>
      <c r="AF221" s="206"/>
      <c r="AG221" s="929">
        <v>1.25</v>
      </c>
      <c r="AH221" s="109"/>
      <c r="AI221" s="109"/>
      <c r="AJ221" s="206"/>
      <c r="AK221" s="946"/>
      <c r="AL221" s="929">
        <v>2.25</v>
      </c>
      <c r="AM221" s="68"/>
      <c r="AN221" s="68"/>
      <c r="AO221" s="68"/>
      <c r="AP221" s="68"/>
      <c r="AQ221" s="672">
        <v>3.25</v>
      </c>
    </row>
    <row r="222" spans="2:43" ht="15.75" customHeight="1">
      <c r="B222" s="857" t="s">
        <v>257</v>
      </c>
      <c r="C222" s="858"/>
      <c r="D222" s="234"/>
      <c r="E222" s="235"/>
      <c r="F222" s="236"/>
      <c r="G222" s="237"/>
      <c r="H222" s="895"/>
      <c r="I222" s="234"/>
      <c r="J222" s="238"/>
      <c r="K222" s="237"/>
      <c r="L222" s="236"/>
      <c r="M222" s="905"/>
      <c r="N222" s="235"/>
      <c r="O222" s="235"/>
      <c r="P222" s="239"/>
      <c r="Q222" s="234"/>
      <c r="R222" s="910"/>
      <c r="S222" s="234"/>
      <c r="T222" s="235"/>
      <c r="U222" s="237"/>
      <c r="V222" s="236"/>
      <c r="W222" s="921"/>
      <c r="X222" s="235"/>
      <c r="Y222" s="235"/>
      <c r="Z222" s="240"/>
      <c r="AA222" s="233"/>
      <c r="AB222" s="929">
        <f>AB220/(1+C275)^AB221</f>
        <v>16591.889113697733</v>
      </c>
      <c r="AC222" s="109"/>
      <c r="AD222" s="109"/>
      <c r="AE222" s="206"/>
      <c r="AF222" s="206"/>
      <c r="AG222" s="929">
        <f>AG220/(1+C275)^AG221</f>
        <v>21826.813362992292</v>
      </c>
      <c r="AH222" s="109"/>
      <c r="AI222" s="109"/>
      <c r="AJ222" s="206"/>
      <c r="AK222" s="946"/>
      <c r="AL222" s="929">
        <f>AL220/(1+C275)^AL221</f>
        <v>19213.522525265333</v>
      </c>
      <c r="AM222" s="68"/>
      <c r="AN222" s="68"/>
      <c r="AO222" s="68"/>
      <c r="AP222" s="68"/>
      <c r="AQ222" s="672">
        <f>AQ220/(1+C275)^AQ221</f>
        <v>7275.5780736616862</v>
      </c>
    </row>
    <row r="223" spans="2:43" ht="15.75" customHeight="1">
      <c r="B223" s="859" t="s">
        <v>258</v>
      </c>
      <c r="C223" s="856"/>
      <c r="D223" s="241"/>
      <c r="E223" s="110"/>
      <c r="F223" s="242"/>
      <c r="G223" s="243"/>
      <c r="H223" s="896"/>
      <c r="I223" s="110"/>
      <c r="J223" s="244"/>
      <c r="K223" s="243"/>
      <c r="L223" s="242"/>
      <c r="M223" s="906"/>
      <c r="N223" s="245"/>
      <c r="O223" s="110"/>
      <c r="P223" s="245"/>
      <c r="Q223" s="110"/>
      <c r="R223" s="911"/>
      <c r="S223" s="110"/>
      <c r="T223" s="245"/>
      <c r="U223" s="243"/>
      <c r="V223" s="242"/>
      <c r="W223" s="906"/>
      <c r="X223" s="245"/>
      <c r="Y223" s="110"/>
      <c r="Z223" s="246"/>
      <c r="AA223" s="246"/>
      <c r="AB223" s="930"/>
      <c r="AC223" s="248"/>
      <c r="AD223" s="248"/>
      <c r="AE223" s="247"/>
      <c r="AF223" s="247"/>
      <c r="AG223" s="930"/>
      <c r="AH223" s="248"/>
      <c r="AI223" s="248"/>
      <c r="AJ223" s="247"/>
      <c r="AK223" s="947"/>
      <c r="AL223" s="930"/>
      <c r="AM223" s="249"/>
      <c r="AN223" s="249"/>
      <c r="AO223" s="249"/>
      <c r="AP223" s="249"/>
      <c r="AQ223" s="933"/>
    </row>
    <row r="224" spans="2:43" ht="15.75" customHeight="1">
      <c r="B224" s="860" t="s">
        <v>259</v>
      </c>
      <c r="C224" s="861"/>
      <c r="D224" s="250">
        <v>0</v>
      </c>
      <c r="E224" s="250">
        <v>0</v>
      </c>
      <c r="F224" s="250">
        <v>0</v>
      </c>
      <c r="G224" s="250">
        <v>0</v>
      </c>
      <c r="H224" s="897">
        <v>0</v>
      </c>
      <c r="I224" s="250">
        <v>0</v>
      </c>
      <c r="J224" s="250">
        <v>0</v>
      </c>
      <c r="K224" s="250">
        <v>0</v>
      </c>
      <c r="L224" s="250">
        <v>0</v>
      </c>
      <c r="M224" s="897">
        <v>0</v>
      </c>
      <c r="N224" s="250">
        <v>0</v>
      </c>
      <c r="O224" s="250">
        <v>0</v>
      </c>
      <c r="P224" s="250">
        <v>0</v>
      </c>
      <c r="Q224" s="250">
        <v>0</v>
      </c>
      <c r="R224" s="897">
        <v>0</v>
      </c>
      <c r="S224" s="250">
        <v>0</v>
      </c>
      <c r="T224" s="250">
        <v>0</v>
      </c>
      <c r="U224" s="250">
        <v>0</v>
      </c>
      <c r="V224" s="250">
        <v>0</v>
      </c>
      <c r="W224" s="897">
        <v>0</v>
      </c>
      <c r="X224" s="250">
        <v>0</v>
      </c>
      <c r="Y224" s="250">
        <v>0</v>
      </c>
      <c r="Z224" s="250">
        <v>0</v>
      </c>
      <c r="AA224" s="109">
        <v>0</v>
      </c>
      <c r="AB224" s="707">
        <v>0</v>
      </c>
      <c r="AC224" s="109">
        <v>0</v>
      </c>
      <c r="AD224" s="109">
        <v>0</v>
      </c>
      <c r="AE224" s="109">
        <v>0</v>
      </c>
      <c r="AF224" s="109">
        <v>0</v>
      </c>
      <c r="AG224" s="707">
        <v>0</v>
      </c>
      <c r="AH224" s="109">
        <v>0</v>
      </c>
      <c r="AI224" s="109">
        <v>0</v>
      </c>
      <c r="AJ224" s="109">
        <v>0</v>
      </c>
      <c r="AK224" s="948">
        <v>0</v>
      </c>
      <c r="AL224" s="707">
        <v>0</v>
      </c>
      <c r="AM224" s="109">
        <v>0</v>
      </c>
      <c r="AN224" s="109">
        <v>0</v>
      </c>
      <c r="AO224" s="109">
        <v>0</v>
      </c>
      <c r="AP224" s="109">
        <v>0</v>
      </c>
      <c r="AQ224" s="707">
        <v>0</v>
      </c>
    </row>
    <row r="225" spans="1:66" ht="15.75" customHeight="1">
      <c r="B225" s="860" t="s">
        <v>260</v>
      </c>
      <c r="C225" s="861"/>
      <c r="D225" s="250">
        <f t="shared" ref="D225:AQ225" si="447">D224/(D90+D81+D82)</f>
        <v>0</v>
      </c>
      <c r="E225" s="250">
        <f t="shared" si="447"/>
        <v>0</v>
      </c>
      <c r="F225" s="250">
        <f t="shared" si="447"/>
        <v>0</v>
      </c>
      <c r="G225" s="250">
        <f t="shared" si="447"/>
        <v>0</v>
      </c>
      <c r="H225" s="898">
        <f t="shared" si="447"/>
        <v>0</v>
      </c>
      <c r="I225" s="250">
        <f t="shared" si="447"/>
        <v>0</v>
      </c>
      <c r="J225" s="250">
        <f t="shared" si="447"/>
        <v>0</v>
      </c>
      <c r="K225" s="250">
        <f t="shared" si="447"/>
        <v>0</v>
      </c>
      <c r="L225" s="250">
        <f t="shared" si="447"/>
        <v>0</v>
      </c>
      <c r="M225" s="898">
        <f t="shared" si="447"/>
        <v>0</v>
      </c>
      <c r="N225" s="250">
        <f t="shared" si="447"/>
        <v>0</v>
      </c>
      <c r="O225" s="250">
        <f t="shared" si="447"/>
        <v>0</v>
      </c>
      <c r="P225" s="250">
        <f t="shared" si="447"/>
        <v>0</v>
      </c>
      <c r="Q225" s="250">
        <f t="shared" si="447"/>
        <v>0</v>
      </c>
      <c r="R225" s="898">
        <f t="shared" si="447"/>
        <v>0</v>
      </c>
      <c r="S225" s="250">
        <f t="shared" si="447"/>
        <v>0</v>
      </c>
      <c r="T225" s="250">
        <f t="shared" si="447"/>
        <v>0</v>
      </c>
      <c r="U225" s="250">
        <f t="shared" si="447"/>
        <v>0</v>
      </c>
      <c r="V225" s="250">
        <f t="shared" si="447"/>
        <v>0</v>
      </c>
      <c r="W225" s="898">
        <f t="shared" si="447"/>
        <v>0</v>
      </c>
      <c r="X225" s="250">
        <f t="shared" si="447"/>
        <v>0</v>
      </c>
      <c r="Y225" s="250">
        <f t="shared" si="447"/>
        <v>0</v>
      </c>
      <c r="Z225" s="250">
        <f t="shared" si="447"/>
        <v>0</v>
      </c>
      <c r="AA225" s="109">
        <f t="shared" si="447"/>
        <v>0</v>
      </c>
      <c r="AB225" s="707">
        <f t="shared" si="447"/>
        <v>0</v>
      </c>
      <c r="AC225" s="109">
        <f t="shared" si="447"/>
        <v>0</v>
      </c>
      <c r="AD225" s="109">
        <f t="shared" si="447"/>
        <v>0</v>
      </c>
      <c r="AE225" s="109">
        <f t="shared" si="447"/>
        <v>0</v>
      </c>
      <c r="AF225" s="109">
        <f t="shared" si="447"/>
        <v>0</v>
      </c>
      <c r="AG225" s="707">
        <f t="shared" si="447"/>
        <v>0</v>
      </c>
      <c r="AH225" s="109">
        <f t="shared" si="447"/>
        <v>0</v>
      </c>
      <c r="AI225" s="109">
        <f t="shared" si="447"/>
        <v>0</v>
      </c>
      <c r="AJ225" s="109">
        <f t="shared" si="447"/>
        <v>0</v>
      </c>
      <c r="AK225" s="948">
        <f t="shared" si="447"/>
        <v>0</v>
      </c>
      <c r="AL225" s="707">
        <f t="shared" si="447"/>
        <v>0</v>
      </c>
      <c r="AM225" s="109">
        <f t="shared" si="447"/>
        <v>0</v>
      </c>
      <c r="AN225" s="109">
        <f t="shared" si="447"/>
        <v>0</v>
      </c>
      <c r="AO225" s="109">
        <f t="shared" si="447"/>
        <v>0</v>
      </c>
      <c r="AP225" s="109">
        <f t="shared" si="447"/>
        <v>0</v>
      </c>
      <c r="AQ225" s="707">
        <f t="shared" si="447"/>
        <v>0</v>
      </c>
    </row>
    <row r="226" spans="1:66" ht="15.75" customHeight="1">
      <c r="B226" s="862" t="s">
        <v>261</v>
      </c>
      <c r="C226" s="863"/>
      <c r="D226" s="250" t="str">
        <f t="shared" ref="D226:AQ226" ca="1" si="448">D224*D227</f>
        <v>#REF!</v>
      </c>
      <c r="E226" s="250" t="str">
        <f t="shared" ca="1" si="448"/>
        <v>#REF!</v>
      </c>
      <c r="F226" s="250" t="str">
        <f t="shared" ca="1" si="448"/>
        <v>#REF!</v>
      </c>
      <c r="G226" s="250" t="str">
        <f t="shared" ca="1" si="448"/>
        <v>#REF!</v>
      </c>
      <c r="H226" s="898" t="str">
        <f t="shared" ca="1" si="448"/>
        <v>#REF!</v>
      </c>
      <c r="I226" s="250" t="str">
        <f t="shared" ca="1" si="448"/>
        <v>#REF!</v>
      </c>
      <c r="J226" s="250" t="str">
        <f t="shared" ca="1" si="448"/>
        <v>#REF!</v>
      </c>
      <c r="K226" s="250" t="str">
        <f t="shared" ca="1" si="448"/>
        <v>#REF!</v>
      </c>
      <c r="L226" s="250" t="str">
        <f t="shared" ca="1" si="448"/>
        <v>#REF!</v>
      </c>
      <c r="M226" s="898" t="str">
        <f t="shared" ca="1" si="448"/>
        <v>#REF!</v>
      </c>
      <c r="N226" s="250" t="str">
        <f t="shared" ca="1" si="448"/>
        <v>#REF!</v>
      </c>
      <c r="O226" s="250" t="str">
        <f t="shared" ca="1" si="448"/>
        <v>#REF!</v>
      </c>
      <c r="P226" s="250" t="str">
        <f t="shared" ca="1" si="448"/>
        <v>#REF!</v>
      </c>
      <c r="Q226" s="250" t="str">
        <f t="shared" ca="1" si="448"/>
        <v>#REF!</v>
      </c>
      <c r="R226" s="898" t="str">
        <f t="shared" ca="1" si="448"/>
        <v>#REF!</v>
      </c>
      <c r="S226" s="250" t="str">
        <f t="shared" ca="1" si="448"/>
        <v>#REF!</v>
      </c>
      <c r="T226" s="250" t="str">
        <f t="shared" ca="1" si="448"/>
        <v>#REF!</v>
      </c>
      <c r="U226" s="250" t="str">
        <f t="shared" ca="1" si="448"/>
        <v>#REF!</v>
      </c>
      <c r="V226" s="250" t="str">
        <f t="shared" ca="1" si="448"/>
        <v>#REF!</v>
      </c>
      <c r="W226" s="898" t="str">
        <f t="shared" ca="1" si="448"/>
        <v>#REF!</v>
      </c>
      <c r="X226" s="250" t="str">
        <f t="shared" ca="1" si="448"/>
        <v>#REF!</v>
      </c>
      <c r="Y226" s="250" t="str">
        <f t="shared" ca="1" si="448"/>
        <v>#REF!</v>
      </c>
      <c r="Z226" s="109" t="str">
        <f t="shared" ca="1" si="448"/>
        <v>#REF!</v>
      </c>
      <c r="AA226" s="109" t="str">
        <f t="shared" ca="1" si="448"/>
        <v>#REF!</v>
      </c>
      <c r="AB226" s="707" t="str">
        <f t="shared" ca="1" si="448"/>
        <v>#REF!</v>
      </c>
      <c r="AC226" s="109" t="str">
        <f t="shared" ca="1" si="448"/>
        <v>#REF!</v>
      </c>
      <c r="AD226" s="109" t="str">
        <f t="shared" ca="1" si="448"/>
        <v>#REF!</v>
      </c>
      <c r="AE226" s="109" t="str">
        <f t="shared" ca="1" si="448"/>
        <v>#REF!</v>
      </c>
      <c r="AF226" s="109" t="str">
        <f t="shared" ca="1" si="448"/>
        <v>#REF!</v>
      </c>
      <c r="AG226" s="707" t="str">
        <f t="shared" ca="1" si="448"/>
        <v>#REF!</v>
      </c>
      <c r="AH226" s="109" t="str">
        <f t="shared" ca="1" si="448"/>
        <v>#REF!</v>
      </c>
      <c r="AI226" s="109" t="str">
        <f t="shared" ca="1" si="448"/>
        <v>#REF!</v>
      </c>
      <c r="AJ226" s="109" t="str">
        <f t="shared" ca="1" si="448"/>
        <v>#REF!</v>
      </c>
      <c r="AK226" s="948" t="str">
        <f t="shared" ca="1" si="448"/>
        <v>#REF!</v>
      </c>
      <c r="AL226" s="707" t="str">
        <f t="shared" ca="1" si="448"/>
        <v>#REF!</v>
      </c>
      <c r="AM226" s="109" t="str">
        <f t="shared" ca="1" si="448"/>
        <v>#REF!</v>
      </c>
      <c r="AN226" s="109" t="str">
        <f t="shared" ca="1" si="448"/>
        <v>#REF!</v>
      </c>
      <c r="AO226" s="109" t="str">
        <f t="shared" ca="1" si="448"/>
        <v>#REF!</v>
      </c>
      <c r="AP226" s="109" t="str">
        <f t="shared" ca="1" si="448"/>
        <v>#REF!</v>
      </c>
      <c r="AQ226" s="707" t="str">
        <f t="shared" ca="1" si="448"/>
        <v>#REF!</v>
      </c>
    </row>
    <row r="227" spans="1:66" ht="15.75" customHeight="1">
      <c r="B227" s="862" t="s">
        <v>262</v>
      </c>
      <c r="C227" s="863"/>
      <c r="D227" s="250" t="str">
        <f t="shared" ref="D227:AQ227" ca="1" si="449">D226/D224</f>
        <v>#REF!</v>
      </c>
      <c r="E227" s="250" t="str">
        <f t="shared" ca="1" si="449"/>
        <v>#REF!</v>
      </c>
      <c r="F227" s="250" t="str">
        <f t="shared" ca="1" si="449"/>
        <v>#REF!</v>
      </c>
      <c r="G227" s="250" t="str">
        <f t="shared" ca="1" si="449"/>
        <v>#REF!</v>
      </c>
      <c r="H227" s="898" t="str">
        <f t="shared" ca="1" si="449"/>
        <v>#REF!</v>
      </c>
      <c r="I227" s="250" t="str">
        <f t="shared" ca="1" si="449"/>
        <v>#REF!</v>
      </c>
      <c r="J227" s="250" t="str">
        <f t="shared" ca="1" si="449"/>
        <v>#REF!</v>
      </c>
      <c r="K227" s="250" t="str">
        <f t="shared" ca="1" si="449"/>
        <v>#REF!</v>
      </c>
      <c r="L227" s="250" t="str">
        <f t="shared" ca="1" si="449"/>
        <v>#REF!</v>
      </c>
      <c r="M227" s="898" t="str">
        <f t="shared" ca="1" si="449"/>
        <v>#REF!</v>
      </c>
      <c r="N227" s="250" t="str">
        <f t="shared" ca="1" si="449"/>
        <v>#REF!</v>
      </c>
      <c r="O227" s="250" t="str">
        <f t="shared" ca="1" si="449"/>
        <v>#REF!</v>
      </c>
      <c r="P227" s="250" t="str">
        <f t="shared" ca="1" si="449"/>
        <v>#REF!</v>
      </c>
      <c r="Q227" s="250" t="str">
        <f t="shared" ca="1" si="449"/>
        <v>#REF!</v>
      </c>
      <c r="R227" s="898" t="str">
        <f t="shared" ca="1" si="449"/>
        <v>#REF!</v>
      </c>
      <c r="S227" s="250" t="str">
        <f t="shared" ca="1" si="449"/>
        <v>#REF!</v>
      </c>
      <c r="T227" s="250" t="str">
        <f t="shared" ca="1" si="449"/>
        <v>#REF!</v>
      </c>
      <c r="U227" s="250" t="str">
        <f t="shared" ca="1" si="449"/>
        <v>#REF!</v>
      </c>
      <c r="V227" s="250" t="str">
        <f t="shared" ca="1" si="449"/>
        <v>#REF!</v>
      </c>
      <c r="W227" s="898" t="str">
        <f t="shared" ca="1" si="449"/>
        <v>#REF!</v>
      </c>
      <c r="X227" s="250" t="str">
        <f t="shared" ca="1" si="449"/>
        <v>#REF!</v>
      </c>
      <c r="Y227" s="250" t="str">
        <f t="shared" ca="1" si="449"/>
        <v>#REF!</v>
      </c>
      <c r="Z227" s="109" t="str">
        <f t="shared" ca="1" si="449"/>
        <v>#REF!</v>
      </c>
      <c r="AA227" s="109" t="str">
        <f t="shared" ca="1" si="449"/>
        <v>#REF!</v>
      </c>
      <c r="AB227" s="707" t="str">
        <f t="shared" ca="1" si="449"/>
        <v>#REF!</v>
      </c>
      <c r="AC227" s="109" t="str">
        <f t="shared" ca="1" si="449"/>
        <v>#REF!</v>
      </c>
      <c r="AD227" s="109" t="str">
        <f t="shared" ca="1" si="449"/>
        <v>#REF!</v>
      </c>
      <c r="AE227" s="109" t="str">
        <f t="shared" ca="1" si="449"/>
        <v>#REF!</v>
      </c>
      <c r="AF227" s="109" t="str">
        <f t="shared" ca="1" si="449"/>
        <v>#REF!</v>
      </c>
      <c r="AG227" s="707" t="str">
        <f t="shared" ca="1" si="449"/>
        <v>#REF!</v>
      </c>
      <c r="AH227" s="109" t="str">
        <f t="shared" ca="1" si="449"/>
        <v>#REF!</v>
      </c>
      <c r="AI227" s="109" t="str">
        <f t="shared" ca="1" si="449"/>
        <v>#REF!</v>
      </c>
      <c r="AJ227" s="109" t="str">
        <f t="shared" ca="1" si="449"/>
        <v>#REF!</v>
      </c>
      <c r="AK227" s="948" t="str">
        <f t="shared" ca="1" si="449"/>
        <v>#REF!</v>
      </c>
      <c r="AL227" s="707" t="str">
        <f t="shared" ca="1" si="449"/>
        <v>#REF!</v>
      </c>
      <c r="AM227" s="109" t="str">
        <f t="shared" ca="1" si="449"/>
        <v>#REF!</v>
      </c>
      <c r="AN227" s="109" t="str">
        <f t="shared" ca="1" si="449"/>
        <v>#REF!</v>
      </c>
      <c r="AO227" s="109" t="str">
        <f t="shared" ca="1" si="449"/>
        <v>#REF!</v>
      </c>
      <c r="AP227" s="109" t="str">
        <f t="shared" ca="1" si="449"/>
        <v>#REF!</v>
      </c>
      <c r="AQ227" s="707" t="str">
        <f t="shared" ca="1" si="449"/>
        <v>#REF!</v>
      </c>
    </row>
    <row r="228" spans="1:66" ht="15.75" customHeight="1">
      <c r="B228" s="860" t="s">
        <v>263</v>
      </c>
      <c r="C228" s="861"/>
      <c r="D228" s="251">
        <f t="shared" ref="D228:AQ228" si="450">(D81+D82+D90-D107-D110)/D41</f>
        <v>45.460101297645316</v>
      </c>
      <c r="E228" s="251">
        <f t="shared" si="450"/>
        <v>49.573524946403971</v>
      </c>
      <c r="F228" s="251">
        <f t="shared" si="450"/>
        <v>49.434709712835684</v>
      </c>
      <c r="G228" s="251">
        <f t="shared" si="450"/>
        <v>54.018353746362131</v>
      </c>
      <c r="H228" s="899">
        <f t="shared" si="450"/>
        <v>54.018353746362131</v>
      </c>
      <c r="I228" s="251">
        <f t="shared" si="450"/>
        <v>59.81604011483951</v>
      </c>
      <c r="J228" s="251">
        <f t="shared" si="450"/>
        <v>61.639556571772644</v>
      </c>
      <c r="K228" s="251">
        <f t="shared" si="450"/>
        <v>57.292577457833801</v>
      </c>
      <c r="L228" s="251">
        <f t="shared" si="450"/>
        <v>58.203442851286276</v>
      </c>
      <c r="M228" s="899">
        <f t="shared" si="450"/>
        <v>58.203442851286269</v>
      </c>
      <c r="N228" s="251">
        <f t="shared" si="450"/>
        <v>64.406200993555188</v>
      </c>
      <c r="O228" s="251">
        <f t="shared" si="450"/>
        <v>65.890075789975128</v>
      </c>
      <c r="P228" s="251">
        <f t="shared" si="450"/>
        <v>60.298654203123981</v>
      </c>
      <c r="Q228" s="251">
        <f t="shared" si="450"/>
        <v>60.144903130066943</v>
      </c>
      <c r="R228" s="899">
        <f t="shared" si="450"/>
        <v>60.144903130066936</v>
      </c>
      <c r="S228" s="251">
        <f t="shared" si="450"/>
        <v>70.090151818993363</v>
      </c>
      <c r="T228" s="251">
        <f t="shared" si="450"/>
        <v>73.30421745698051</v>
      </c>
      <c r="U228" s="251">
        <f t="shared" si="450"/>
        <v>64.044826941987466</v>
      </c>
      <c r="V228" s="251">
        <f t="shared" si="450"/>
        <v>68.274630432279906</v>
      </c>
      <c r="W228" s="899">
        <f t="shared" si="450"/>
        <v>68.239893553734007</v>
      </c>
      <c r="X228" s="251">
        <f t="shared" si="450"/>
        <v>73.086075012763544</v>
      </c>
      <c r="Y228" s="251">
        <f t="shared" si="450"/>
        <v>75.664827867926945</v>
      </c>
      <c r="Z228" s="252">
        <f t="shared" si="450"/>
        <v>67.33819317099092</v>
      </c>
      <c r="AA228" s="252">
        <f t="shared" si="450"/>
        <v>78.480856614062034</v>
      </c>
      <c r="AB228" s="931">
        <f t="shared" si="450"/>
        <v>78.480856614062006</v>
      </c>
      <c r="AC228" s="252">
        <f t="shared" si="450"/>
        <v>66.227064779791291</v>
      </c>
      <c r="AD228" s="252">
        <f t="shared" si="450"/>
        <v>90.587986506318643</v>
      </c>
      <c r="AE228" s="252">
        <f t="shared" si="450"/>
        <v>81.215924196332537</v>
      </c>
      <c r="AF228" s="252">
        <f t="shared" si="450"/>
        <v>93.058811946326244</v>
      </c>
      <c r="AG228" s="931">
        <f t="shared" si="450"/>
        <v>93.058811946326259</v>
      </c>
      <c r="AH228" s="252">
        <f t="shared" si="450"/>
        <v>73.818490435985126</v>
      </c>
      <c r="AI228" s="252">
        <f t="shared" si="450"/>
        <v>101.6653321137495</v>
      </c>
      <c r="AJ228" s="252">
        <f t="shared" si="450"/>
        <v>82.746072917862151</v>
      </c>
      <c r="AK228" s="949">
        <f t="shared" si="450"/>
        <v>112.47884430261823</v>
      </c>
      <c r="AL228" s="931">
        <f t="shared" si="450"/>
        <v>112.47884430261819</v>
      </c>
      <c r="AM228" s="252">
        <f t="shared" si="450"/>
        <v>84.30309505166278</v>
      </c>
      <c r="AN228" s="252">
        <f t="shared" si="450"/>
        <v>100.55973221642292</v>
      </c>
      <c r="AO228" s="252">
        <f t="shared" si="450"/>
        <v>98.265778957102185</v>
      </c>
      <c r="AP228" s="252">
        <f t="shared" si="450"/>
        <v>114.23437478377308</v>
      </c>
      <c r="AQ228" s="931">
        <f t="shared" si="450"/>
        <v>114.23437478377301</v>
      </c>
    </row>
    <row r="229" spans="1:66" ht="15.75" customHeight="1">
      <c r="B229" s="864" t="s">
        <v>264</v>
      </c>
      <c r="C229" s="865"/>
      <c r="D229" s="253" t="str">
        <f t="shared" ref="D229:AQ229" ca="1" si="451">D227/D41</f>
        <v>#REF!</v>
      </c>
      <c r="E229" s="253" t="str">
        <f t="shared" ca="1" si="451"/>
        <v>#REF!</v>
      </c>
      <c r="F229" s="253" t="str">
        <f t="shared" ca="1" si="451"/>
        <v>#REF!</v>
      </c>
      <c r="G229" s="253" t="str">
        <f t="shared" ca="1" si="451"/>
        <v>#REF!</v>
      </c>
      <c r="H229" s="900" t="str">
        <f t="shared" ca="1" si="451"/>
        <v>#REF!</v>
      </c>
      <c r="I229" s="253" t="str">
        <f t="shared" ca="1" si="451"/>
        <v>#REF!</v>
      </c>
      <c r="J229" s="253" t="str">
        <f t="shared" ca="1" si="451"/>
        <v>#REF!</v>
      </c>
      <c r="K229" s="253" t="str">
        <f t="shared" ca="1" si="451"/>
        <v>#REF!</v>
      </c>
      <c r="L229" s="253" t="str">
        <f t="shared" ca="1" si="451"/>
        <v>#REF!</v>
      </c>
      <c r="M229" s="900" t="str">
        <f t="shared" ca="1" si="451"/>
        <v>#REF!</v>
      </c>
      <c r="N229" s="253" t="str">
        <f t="shared" ca="1" si="451"/>
        <v>#REF!</v>
      </c>
      <c r="O229" s="253" t="str">
        <f t="shared" ca="1" si="451"/>
        <v>#REF!</v>
      </c>
      <c r="P229" s="253" t="str">
        <f t="shared" ca="1" si="451"/>
        <v>#REF!</v>
      </c>
      <c r="Q229" s="253" t="str">
        <f t="shared" ca="1" si="451"/>
        <v>#REF!</v>
      </c>
      <c r="R229" s="900" t="str">
        <f t="shared" ca="1" si="451"/>
        <v>#REF!</v>
      </c>
      <c r="S229" s="253" t="str">
        <f t="shared" ca="1" si="451"/>
        <v>#REF!</v>
      </c>
      <c r="T229" s="253" t="str">
        <f t="shared" ca="1" si="451"/>
        <v>#REF!</v>
      </c>
      <c r="U229" s="253" t="str">
        <f t="shared" ca="1" si="451"/>
        <v>#REF!</v>
      </c>
      <c r="V229" s="253" t="str">
        <f t="shared" ca="1" si="451"/>
        <v>#REF!</v>
      </c>
      <c r="W229" s="900" t="str">
        <f t="shared" ca="1" si="451"/>
        <v>#REF!</v>
      </c>
      <c r="X229" s="253" t="str">
        <f t="shared" ca="1" si="451"/>
        <v>#REF!</v>
      </c>
      <c r="Y229" s="253" t="str">
        <f t="shared" ca="1" si="451"/>
        <v>#REF!</v>
      </c>
      <c r="Z229" s="127" t="str">
        <f t="shared" ca="1" si="451"/>
        <v>#REF!</v>
      </c>
      <c r="AA229" s="127" t="str">
        <f t="shared" ca="1" si="451"/>
        <v>#REF!</v>
      </c>
      <c r="AB229" s="708" t="str">
        <f t="shared" ca="1" si="451"/>
        <v>#REF!</v>
      </c>
      <c r="AC229" s="127" t="str">
        <f t="shared" ca="1" si="451"/>
        <v>#REF!</v>
      </c>
      <c r="AD229" s="127" t="str">
        <f t="shared" ca="1" si="451"/>
        <v>#REF!</v>
      </c>
      <c r="AE229" s="127" t="str">
        <f t="shared" ca="1" si="451"/>
        <v>#REF!</v>
      </c>
      <c r="AF229" s="127" t="str">
        <f t="shared" ca="1" si="451"/>
        <v>#REF!</v>
      </c>
      <c r="AG229" s="708" t="str">
        <f t="shared" ca="1" si="451"/>
        <v>#REF!</v>
      </c>
      <c r="AH229" s="127" t="str">
        <f t="shared" ca="1" si="451"/>
        <v>#REF!</v>
      </c>
      <c r="AI229" s="127" t="str">
        <f t="shared" ca="1" si="451"/>
        <v>#REF!</v>
      </c>
      <c r="AJ229" s="127" t="str">
        <f t="shared" ca="1" si="451"/>
        <v>#REF!</v>
      </c>
      <c r="AK229" s="950" t="str">
        <f t="shared" ca="1" si="451"/>
        <v>#REF!</v>
      </c>
      <c r="AL229" s="708" t="str">
        <f t="shared" ca="1" si="451"/>
        <v>#REF!</v>
      </c>
      <c r="AM229" s="127" t="str">
        <f t="shared" ca="1" si="451"/>
        <v>#REF!</v>
      </c>
      <c r="AN229" s="127" t="str">
        <f t="shared" ca="1" si="451"/>
        <v>#REF!</v>
      </c>
      <c r="AO229" s="127" t="str">
        <f t="shared" ca="1" si="451"/>
        <v>#REF!</v>
      </c>
      <c r="AP229" s="127" t="str">
        <f t="shared" ca="1" si="451"/>
        <v>#REF!</v>
      </c>
      <c r="AQ229" s="708" t="str">
        <f t="shared" ca="1" si="451"/>
        <v>#REF!</v>
      </c>
    </row>
    <row r="230" spans="1:66" ht="15.75" customHeight="1">
      <c r="B230" s="1"/>
      <c r="C230" s="1"/>
      <c r="D230" s="2"/>
      <c r="E230" s="2"/>
      <c r="F230" s="3"/>
      <c r="G230" s="3"/>
      <c r="H230" s="3"/>
      <c r="I230" s="2"/>
      <c r="J230" s="4"/>
      <c r="K230" s="3"/>
      <c r="L230" s="3"/>
      <c r="M230" s="3"/>
      <c r="N230" s="2"/>
      <c r="O230" s="2"/>
      <c r="P230" s="2"/>
      <c r="Q230" s="2"/>
      <c r="R230" s="2"/>
      <c r="S230" s="2"/>
      <c r="T230" s="2"/>
      <c r="U230" s="3"/>
      <c r="V230" s="3"/>
      <c r="W230" s="3"/>
      <c r="X230" s="2"/>
      <c r="Y230" s="2"/>
      <c r="Z230" s="3"/>
      <c r="AA230" s="3"/>
      <c r="AB230" s="3"/>
      <c r="AC230" s="2"/>
      <c r="AD230" s="2"/>
      <c r="AE230" s="3"/>
      <c r="AF230" s="3"/>
      <c r="AG230" s="3"/>
      <c r="AH230" s="2"/>
      <c r="AI230" s="2"/>
      <c r="AJ230" s="3"/>
      <c r="AK230" s="3"/>
      <c r="AL230" s="3"/>
    </row>
    <row r="231" spans="1:66" ht="15.75" customHeight="1">
      <c r="B231" s="490" t="s">
        <v>265</v>
      </c>
      <c r="C231" s="530"/>
      <c r="D231" s="468" t="s">
        <v>9</v>
      </c>
      <c r="E231" s="468" t="s">
        <v>10</v>
      </c>
      <c r="F231" s="469" t="s">
        <v>11</v>
      </c>
      <c r="G231" s="468" t="s">
        <v>12</v>
      </c>
      <c r="H231" s="468" t="s">
        <v>12</v>
      </c>
      <c r="I231" s="468" t="s">
        <v>13</v>
      </c>
      <c r="J231" s="470" t="s">
        <v>14</v>
      </c>
      <c r="K231" s="468" t="s">
        <v>15</v>
      </c>
      <c r="L231" s="468" t="s">
        <v>16</v>
      </c>
      <c r="M231" s="468" t="s">
        <v>16</v>
      </c>
      <c r="N231" s="468" t="s">
        <v>17</v>
      </c>
      <c r="O231" s="468" t="s">
        <v>18</v>
      </c>
      <c r="P231" s="468" t="s">
        <v>19</v>
      </c>
      <c r="Q231" s="468" t="s">
        <v>20</v>
      </c>
      <c r="R231" s="468" t="s">
        <v>20</v>
      </c>
      <c r="S231" s="468" t="s">
        <v>21</v>
      </c>
      <c r="T231" s="468" t="s">
        <v>22</v>
      </c>
      <c r="U231" s="471" t="s">
        <v>23</v>
      </c>
      <c r="V231" s="471" t="s">
        <v>24</v>
      </c>
      <c r="W231" s="471" t="s">
        <v>24</v>
      </c>
      <c r="X231" s="471" t="s">
        <v>25</v>
      </c>
      <c r="Y231" s="471" t="s">
        <v>26</v>
      </c>
      <c r="Z231" s="471" t="s">
        <v>27</v>
      </c>
      <c r="AA231" s="475" t="s">
        <v>28</v>
      </c>
      <c r="AB231" s="475" t="s">
        <v>28</v>
      </c>
      <c r="AC231" s="476" t="s">
        <v>29</v>
      </c>
      <c r="AD231" s="476" t="s">
        <v>30</v>
      </c>
      <c r="AE231" s="476" t="s">
        <v>31</v>
      </c>
      <c r="AF231" s="476" t="s">
        <v>32</v>
      </c>
      <c r="AG231" s="476" t="s">
        <v>32</v>
      </c>
      <c r="AH231" s="476" t="s">
        <v>33</v>
      </c>
      <c r="AI231" s="476" t="s">
        <v>34</v>
      </c>
      <c r="AJ231" s="476" t="s">
        <v>35</v>
      </c>
      <c r="AK231" s="476" t="s">
        <v>36</v>
      </c>
      <c r="AL231" s="476" t="s">
        <v>36</v>
      </c>
      <c r="AM231" s="476" t="s">
        <v>37</v>
      </c>
      <c r="AN231" s="476" t="s">
        <v>38</v>
      </c>
      <c r="AO231" s="476" t="s">
        <v>39</v>
      </c>
      <c r="AP231" s="476" t="s">
        <v>40</v>
      </c>
      <c r="AQ231" s="476" t="s">
        <v>40</v>
      </c>
    </row>
    <row r="232" spans="1:66" ht="15.75" customHeight="1">
      <c r="B232" s="531"/>
      <c r="C232" s="532"/>
      <c r="D232" s="472" t="s">
        <v>42</v>
      </c>
      <c r="E232" s="472" t="s">
        <v>43</v>
      </c>
      <c r="F232" s="472" t="s">
        <v>44</v>
      </c>
      <c r="G232" s="472" t="s">
        <v>45</v>
      </c>
      <c r="H232" s="472" t="s">
        <v>46</v>
      </c>
      <c r="I232" s="472" t="s">
        <v>47</v>
      </c>
      <c r="J232" s="473" t="s">
        <v>48</v>
      </c>
      <c r="K232" s="472" t="s">
        <v>49</v>
      </c>
      <c r="L232" s="472" t="s">
        <v>50</v>
      </c>
      <c r="M232" s="472" t="s">
        <v>51</v>
      </c>
      <c r="N232" s="472" t="s">
        <v>52</v>
      </c>
      <c r="O232" s="472" t="s">
        <v>53</v>
      </c>
      <c r="P232" s="472" t="s">
        <v>54</v>
      </c>
      <c r="Q232" s="472" t="s">
        <v>55</v>
      </c>
      <c r="R232" s="472" t="s">
        <v>56</v>
      </c>
      <c r="S232" s="472" t="s">
        <v>57</v>
      </c>
      <c r="T232" s="472" t="s">
        <v>58</v>
      </c>
      <c r="U232" s="474" t="s">
        <v>59</v>
      </c>
      <c r="V232" s="474" t="s">
        <v>60</v>
      </c>
      <c r="W232" s="474" t="s">
        <v>61</v>
      </c>
      <c r="X232" s="474" t="s">
        <v>62</v>
      </c>
      <c r="Y232" s="474" t="s">
        <v>63</v>
      </c>
      <c r="Z232" s="474" t="s">
        <v>64</v>
      </c>
      <c r="AA232" s="477" t="s">
        <v>65</v>
      </c>
      <c r="AB232" s="479" t="s">
        <v>135</v>
      </c>
      <c r="AC232" s="479" t="s">
        <v>136</v>
      </c>
      <c r="AD232" s="479" t="s">
        <v>68</v>
      </c>
      <c r="AE232" s="479" t="s">
        <v>69</v>
      </c>
      <c r="AF232" s="479" t="s">
        <v>70</v>
      </c>
      <c r="AG232" s="479" t="s">
        <v>71</v>
      </c>
      <c r="AH232" s="479" t="s">
        <v>72</v>
      </c>
      <c r="AI232" s="479" t="s">
        <v>73</v>
      </c>
      <c r="AJ232" s="479" t="s">
        <v>74</v>
      </c>
      <c r="AK232" s="479" t="s">
        <v>75</v>
      </c>
      <c r="AL232" s="479" t="s">
        <v>76</v>
      </c>
      <c r="AM232" s="479" t="s">
        <v>77</v>
      </c>
      <c r="AN232" s="479" t="s">
        <v>78</v>
      </c>
      <c r="AO232" s="480" t="s">
        <v>79</v>
      </c>
      <c r="AP232" s="479" t="s">
        <v>80</v>
      </c>
      <c r="AQ232" s="479" t="s">
        <v>81</v>
      </c>
    </row>
    <row r="233" spans="1:66" ht="15.75" customHeight="1">
      <c r="B233" s="866" t="s">
        <v>266</v>
      </c>
      <c r="C233" s="854"/>
      <c r="D233" s="245"/>
      <c r="E233" s="110"/>
      <c r="F233" s="242"/>
      <c r="G233" s="243"/>
      <c r="H233" s="896"/>
      <c r="I233" s="110"/>
      <c r="J233" s="244"/>
      <c r="K233" s="243"/>
      <c r="L233" s="254"/>
      <c r="M233" s="954"/>
      <c r="N233" s="110"/>
      <c r="O233" s="245"/>
      <c r="P233" s="110"/>
      <c r="Q233" s="245"/>
      <c r="R233" s="959"/>
      <c r="S233" s="245"/>
      <c r="T233" s="110"/>
      <c r="U233" s="242"/>
      <c r="V233" s="243"/>
      <c r="W233" s="896"/>
      <c r="X233" s="110"/>
      <c r="Y233" s="245"/>
      <c r="Z233" s="243"/>
      <c r="AA233" s="243"/>
      <c r="AB233" s="961"/>
      <c r="AC233" s="110"/>
      <c r="AD233" s="255"/>
      <c r="AE233" s="206"/>
      <c r="AF233" s="3"/>
      <c r="AG233" s="929"/>
      <c r="AH233" s="2"/>
      <c r="AI233" s="109"/>
      <c r="AJ233" s="3"/>
      <c r="AK233" s="206"/>
      <c r="AL233" s="962"/>
      <c r="AM233" s="68"/>
      <c r="AO233" s="111"/>
      <c r="AQ233" s="672"/>
    </row>
    <row r="234" spans="1:66" ht="15.75" customHeight="1">
      <c r="A234" s="256"/>
      <c r="B234" s="855" t="s">
        <v>267</v>
      </c>
      <c r="C234" s="856"/>
      <c r="D234" s="2">
        <v>0</v>
      </c>
      <c r="E234" s="109"/>
      <c r="F234" s="3"/>
      <c r="G234" s="206"/>
      <c r="H234" s="951"/>
      <c r="I234" s="109"/>
      <c r="J234" s="4"/>
      <c r="K234" s="206"/>
      <c r="L234" s="233"/>
      <c r="M234" s="955"/>
      <c r="N234" s="109"/>
      <c r="O234" s="2"/>
      <c r="P234" s="109"/>
      <c r="Q234" s="2"/>
      <c r="R234" s="960"/>
      <c r="S234" s="2"/>
      <c r="T234" s="109"/>
      <c r="U234" s="3"/>
      <c r="V234" s="206"/>
      <c r="W234" s="951"/>
      <c r="X234" s="109"/>
      <c r="Y234" s="2"/>
      <c r="Z234" s="206"/>
      <c r="AA234" s="206"/>
      <c r="AB234" s="962"/>
      <c r="AC234" s="109"/>
      <c r="AD234" s="257"/>
      <c r="AE234" s="206"/>
      <c r="AF234" s="3"/>
      <c r="AG234" s="929"/>
      <c r="AH234" s="2"/>
      <c r="AI234" s="109"/>
      <c r="AJ234" s="3"/>
      <c r="AK234" s="206"/>
      <c r="AL234" s="962"/>
      <c r="AM234" s="68"/>
      <c r="AO234" s="68"/>
      <c r="AQ234" s="672"/>
    </row>
    <row r="235" spans="1:66" ht="15.75" customHeight="1">
      <c r="B235" s="855" t="s">
        <v>268</v>
      </c>
      <c r="C235" s="856"/>
      <c r="D235" s="2"/>
      <c r="E235" s="109"/>
      <c r="F235" s="3"/>
      <c r="G235" s="206"/>
      <c r="H235" s="951"/>
      <c r="I235" s="109"/>
      <c r="J235" s="4"/>
      <c r="K235" s="206"/>
      <c r="L235" s="233"/>
      <c r="M235" s="955"/>
      <c r="N235" s="109"/>
      <c r="O235" s="2"/>
      <c r="P235" s="109"/>
      <c r="Q235" s="2"/>
      <c r="R235" s="960"/>
      <c r="S235" s="2"/>
      <c r="T235" s="109"/>
      <c r="U235" s="3"/>
      <c r="V235" s="206"/>
      <c r="W235" s="951"/>
      <c r="X235" s="109"/>
      <c r="Y235" s="2"/>
      <c r="Z235" s="206"/>
      <c r="AA235" s="206"/>
      <c r="AB235" s="962"/>
      <c r="AC235" s="109"/>
      <c r="AD235" s="257"/>
      <c r="AE235" s="206"/>
      <c r="AF235" s="3"/>
      <c r="AG235" s="929"/>
      <c r="AH235" s="2"/>
      <c r="AI235" s="109"/>
      <c r="AJ235" s="3"/>
      <c r="AK235" s="206"/>
      <c r="AL235" s="962"/>
      <c r="AM235" s="68"/>
      <c r="AO235" s="68"/>
      <c r="AQ235" s="672"/>
    </row>
    <row r="236" spans="1:66" ht="15.75" customHeight="1">
      <c r="B236" s="855" t="s">
        <v>269</v>
      </c>
      <c r="C236" s="856"/>
      <c r="D236" s="2"/>
      <c r="E236" s="109"/>
      <c r="F236" s="3"/>
      <c r="G236" s="206"/>
      <c r="H236" s="951"/>
      <c r="I236" s="109"/>
      <c r="J236" s="4"/>
      <c r="K236" s="206"/>
      <c r="L236" s="233"/>
      <c r="M236" s="955"/>
      <c r="N236" s="109"/>
      <c r="O236" s="2"/>
      <c r="P236" s="109"/>
      <c r="Q236" s="2"/>
      <c r="R236" s="960"/>
      <c r="S236" s="2"/>
      <c r="T236" s="109"/>
      <c r="U236" s="3"/>
      <c r="V236" s="206"/>
      <c r="W236" s="951"/>
      <c r="X236" s="109"/>
      <c r="Y236" s="2"/>
      <c r="Z236" s="206"/>
      <c r="AA236" s="206"/>
      <c r="AB236" s="962"/>
      <c r="AC236" s="109"/>
      <c r="AD236" s="257"/>
      <c r="AE236" s="206"/>
      <c r="AF236" s="3"/>
      <c r="AG236" s="929"/>
      <c r="AH236" s="2"/>
      <c r="AI236" s="109"/>
      <c r="AJ236" s="3"/>
      <c r="AK236" s="206"/>
      <c r="AL236" s="962"/>
      <c r="AM236" s="68"/>
      <c r="AO236" s="68"/>
      <c r="AQ236" s="672"/>
    </row>
    <row r="237" spans="1:66" ht="15.75" customHeight="1">
      <c r="A237" s="181"/>
      <c r="B237" s="867" t="s">
        <v>270</v>
      </c>
      <c r="C237" s="848"/>
      <c r="D237" s="112"/>
      <c r="E237" s="113"/>
      <c r="F237" s="112"/>
      <c r="G237" s="113"/>
      <c r="H237" s="698"/>
      <c r="I237" s="122">
        <f t="shared" ref="I237:AQ237" si="452">(I189/D189)-1</f>
        <v>0.99924010214558012</v>
      </c>
      <c r="J237" s="122">
        <f t="shared" si="452"/>
        <v>7.9303081792609698E-2</v>
      </c>
      <c r="K237" s="122">
        <f t="shared" si="452"/>
        <v>0.39998855370021702</v>
      </c>
      <c r="L237" s="122">
        <f t="shared" si="452"/>
        <v>-0.78355760777689132</v>
      </c>
      <c r="M237" s="956">
        <f t="shared" si="452"/>
        <v>0.16818845628294166</v>
      </c>
      <c r="N237" s="122">
        <f t="shared" si="452"/>
        <v>-0.11141563564000179</v>
      </c>
      <c r="O237" s="122">
        <f t="shared" si="452"/>
        <v>-0.42860913134143031</v>
      </c>
      <c r="P237" s="122">
        <f t="shared" si="452"/>
        <v>-0.11559127973974082</v>
      </c>
      <c r="Q237" s="122">
        <f t="shared" si="452"/>
        <v>-2.9965684937336921</v>
      </c>
      <c r="R237" s="956">
        <f t="shared" si="452"/>
        <v>-0.33624706425986661</v>
      </c>
      <c r="S237" s="122">
        <f t="shared" si="452"/>
        <v>0.62538768953499879</v>
      </c>
      <c r="T237" s="122">
        <f t="shared" si="452"/>
        <v>0.97240000215580102</v>
      </c>
      <c r="U237" s="122">
        <f t="shared" si="452"/>
        <v>0.12064065700882409</v>
      </c>
      <c r="V237" s="122">
        <f t="shared" si="452"/>
        <v>-3.7328099753274424</v>
      </c>
      <c r="W237" s="956">
        <f t="shared" si="452"/>
        <v>1.1682296422455907</v>
      </c>
      <c r="X237" s="122">
        <f t="shared" si="452"/>
        <v>-0.5923930591670068</v>
      </c>
      <c r="Y237" s="122">
        <f t="shared" si="452"/>
        <v>-9.197313029269949E-2</v>
      </c>
      <c r="Z237" s="122">
        <f t="shared" si="452"/>
        <v>0.2292319944373824</v>
      </c>
      <c r="AA237" s="122">
        <f t="shared" si="452"/>
        <v>2.9525990979166306</v>
      </c>
      <c r="AB237" s="956">
        <f t="shared" si="452"/>
        <v>0.24651540450439158</v>
      </c>
      <c r="AC237" s="122">
        <f t="shared" si="452"/>
        <v>-3.2520900272182711</v>
      </c>
      <c r="AD237" s="122">
        <f t="shared" si="452"/>
        <v>5.9708048273748915</v>
      </c>
      <c r="AE237" s="122">
        <f t="shared" si="452"/>
        <v>-1.2869363159456326</v>
      </c>
      <c r="AF237" s="122">
        <f t="shared" si="452"/>
        <v>5.6363297606048191E-2</v>
      </c>
      <c r="AG237" s="956">
        <f t="shared" si="452"/>
        <v>0.37104554739015883</v>
      </c>
      <c r="AH237" s="122">
        <f t="shared" si="452"/>
        <v>0.71004497525322829</v>
      </c>
      <c r="AI237" s="122">
        <f t="shared" si="452"/>
        <v>2.6715076771232971E-2</v>
      </c>
      <c r="AJ237" s="122">
        <f t="shared" si="452"/>
        <v>11.632029955211152</v>
      </c>
      <c r="AK237" s="122">
        <f t="shared" si="452"/>
        <v>1.2303408757377512</v>
      </c>
      <c r="AL237" s="956">
        <f t="shared" si="452"/>
        <v>2.5139469383436586E-2</v>
      </c>
      <c r="AM237" s="122">
        <f t="shared" si="452"/>
        <v>0.55176151409402796</v>
      </c>
      <c r="AN237" s="122">
        <f t="shared" si="452"/>
        <v>-0.29904771036574995</v>
      </c>
      <c r="AO237" s="122">
        <f t="shared" si="452"/>
        <v>-1.1994957461606188</v>
      </c>
      <c r="AP237" s="122">
        <f t="shared" si="452"/>
        <v>-0.39578103025897837</v>
      </c>
      <c r="AQ237" s="699">
        <f t="shared" si="452"/>
        <v>-0.41218242489312773</v>
      </c>
      <c r="AR237" s="181"/>
      <c r="AS237" s="181"/>
      <c r="AT237" s="181"/>
      <c r="AU237" s="181"/>
      <c r="AV237" s="181"/>
      <c r="AW237" s="181"/>
      <c r="AX237" s="181"/>
      <c r="AY237" s="181"/>
      <c r="AZ237" s="181"/>
      <c r="BA237" s="181"/>
      <c r="BB237" s="181"/>
      <c r="BC237" s="181"/>
      <c r="BD237" s="181"/>
      <c r="BE237" s="181"/>
      <c r="BF237" s="181"/>
      <c r="BG237" s="181"/>
      <c r="BH237" s="181"/>
      <c r="BI237" s="181"/>
      <c r="BJ237" s="181"/>
      <c r="BK237" s="181"/>
      <c r="BL237" s="181"/>
      <c r="BM237" s="181"/>
      <c r="BN237" s="181"/>
    </row>
    <row r="238" spans="1:66" ht="15.75" customHeight="1">
      <c r="B238" s="855" t="s">
        <v>271</v>
      </c>
      <c r="C238" s="856"/>
      <c r="D238" s="113">
        <f t="shared" ref="D238:AQ238" si="453">D192/D17</f>
        <v>-6.3892353526752987E-2</v>
      </c>
      <c r="E238" s="112">
        <f t="shared" si="453"/>
        <v>-6.6107072398663203E-2</v>
      </c>
      <c r="F238" s="113">
        <f t="shared" si="453"/>
        <v>-7.4247581218691905E-2</v>
      </c>
      <c r="G238" s="112">
        <f t="shared" si="453"/>
        <v>-9.4617191053268601E-2</v>
      </c>
      <c r="H238" s="712">
        <f t="shared" si="453"/>
        <v>-7.4912981241051141E-2</v>
      </c>
      <c r="I238" s="112">
        <f t="shared" si="453"/>
        <v>-0.12663863144047466</v>
      </c>
      <c r="J238" s="113">
        <f t="shared" si="453"/>
        <v>-0.12779773369101083</v>
      </c>
      <c r="K238" s="112">
        <f t="shared" si="453"/>
        <v>-0.10045875762441242</v>
      </c>
      <c r="L238" s="113">
        <f t="shared" si="453"/>
        <v>-7.3030397894364885E-2</v>
      </c>
      <c r="M238" s="698">
        <f t="shared" si="453"/>
        <v>-0.10735090784687988</v>
      </c>
      <c r="N238" s="113">
        <f t="shared" si="453"/>
        <v>-6.6192657125652241E-2</v>
      </c>
      <c r="O238" s="112">
        <f t="shared" si="453"/>
        <v>-4.8979234341972828E-2</v>
      </c>
      <c r="P238" s="113">
        <f t="shared" si="453"/>
        <v>-2.98055890688361E-2</v>
      </c>
      <c r="Q238" s="112">
        <f t="shared" si="453"/>
        <v>-3.3840508421954962E-2</v>
      </c>
      <c r="R238" s="712">
        <f t="shared" si="453"/>
        <v>-4.500959860336684E-2</v>
      </c>
      <c r="S238" s="112">
        <f t="shared" si="453"/>
        <v>-2.2751231856650532E-2</v>
      </c>
      <c r="T238" s="113">
        <f t="shared" si="453"/>
        <v>-2.3489615622833256E-2</v>
      </c>
      <c r="U238" s="112">
        <f t="shared" si="453"/>
        <v>-0.14534418422538614</v>
      </c>
      <c r="V238" s="113">
        <f t="shared" si="453"/>
        <v>-5.1729358316507136E-2</v>
      </c>
      <c r="W238" s="698">
        <f t="shared" si="453"/>
        <v>-5.9646660151250204E-2</v>
      </c>
      <c r="X238" s="113">
        <f t="shared" si="453"/>
        <v>-9.3055894671748324E-2</v>
      </c>
      <c r="Y238" s="112">
        <f t="shared" si="453"/>
        <v>-9.0948684376099737E-2</v>
      </c>
      <c r="Z238" s="113">
        <f t="shared" si="453"/>
        <v>-6.1609010564461691E-2</v>
      </c>
      <c r="AA238" s="113">
        <f t="shared" si="453"/>
        <v>-6.8254458029432738E-2</v>
      </c>
      <c r="AB238" s="699">
        <f t="shared" si="453"/>
        <v>-7.8176392118977395E-2</v>
      </c>
      <c r="AC238" s="113">
        <f t="shared" si="453"/>
        <v>-7.0088550387206169E-2</v>
      </c>
      <c r="AD238" s="113">
        <f t="shared" si="453"/>
        <v>-6.9766447255662431E-2</v>
      </c>
      <c r="AE238" s="113">
        <f t="shared" si="453"/>
        <v>-6.869574350824649E-2</v>
      </c>
      <c r="AF238" s="113">
        <f t="shared" si="453"/>
        <v>-7.6863326973610271E-2</v>
      </c>
      <c r="AG238" s="699">
        <f t="shared" si="453"/>
        <v>-7.1260683792172125E-2</v>
      </c>
      <c r="AH238" s="113">
        <f t="shared" si="453"/>
        <v>-6.8005300825043774E-2</v>
      </c>
      <c r="AI238" s="113">
        <f t="shared" si="453"/>
        <v>-6.9102311170166686E-2</v>
      </c>
      <c r="AJ238" s="113">
        <f t="shared" si="453"/>
        <v>-7.1510726166932242E-2</v>
      </c>
      <c r="AK238" s="113">
        <f t="shared" si="453"/>
        <v>-7.9105410025301776E-2</v>
      </c>
      <c r="AL238" s="699">
        <f t="shared" si="453"/>
        <v>-7.1815903257475083E-2</v>
      </c>
      <c r="AM238" s="113">
        <f t="shared" si="453"/>
        <v>-6.8587714929886037E-2</v>
      </c>
      <c r="AN238" s="113">
        <f t="shared" si="453"/>
        <v>-7.033458836839028E-2</v>
      </c>
      <c r="AO238" s="113">
        <f t="shared" si="453"/>
        <v>-7.3248524700984113E-2</v>
      </c>
      <c r="AP238" s="113">
        <f t="shared" si="453"/>
        <v>-8.0692872221238596E-2</v>
      </c>
      <c r="AQ238" s="699">
        <f t="shared" si="453"/>
        <v>-7.3097095815822799E-2</v>
      </c>
    </row>
    <row r="239" spans="1:66" ht="15.75" customHeight="1">
      <c r="B239" s="868" t="s">
        <v>272</v>
      </c>
      <c r="C239" s="848"/>
      <c r="D239" s="109"/>
      <c r="E239" s="258">
        <f t="shared" ref="E239:G239" si="454">E192/D192-1</f>
        <v>1.7424796923602548E-2</v>
      </c>
      <c r="F239" s="259">
        <f t="shared" si="454"/>
        <v>0.15984102044596749</v>
      </c>
      <c r="G239" s="258">
        <f t="shared" si="454"/>
        <v>0.29641327748875379</v>
      </c>
      <c r="H239" s="952"/>
      <c r="I239" s="258">
        <f>I192/G192-1</f>
        <v>0.5326970700307605</v>
      </c>
      <c r="J239" s="259">
        <f>J192/I192-1</f>
        <v>-3.7074791282358688E-2</v>
      </c>
      <c r="K239" s="258">
        <f>(K192/J192)-1</f>
        <v>-0.18874871228714341</v>
      </c>
      <c r="L239" s="259">
        <f>L192/K192-1</f>
        <v>-0.31145368492963255</v>
      </c>
      <c r="M239" s="957"/>
      <c r="N239" s="259">
        <f>N192/L192-1</f>
        <v>4.9680223439994675E-2</v>
      </c>
      <c r="O239" s="258">
        <f t="shared" ref="O239:Q239" si="455">O192/N192-1</f>
        <v>-0.25464215092701559</v>
      </c>
      <c r="P239" s="259">
        <f t="shared" si="455"/>
        <v>-0.40273228384735771</v>
      </c>
      <c r="Q239" s="258">
        <f t="shared" si="455"/>
        <v>4.3632707553996175E-2</v>
      </c>
      <c r="R239" s="952"/>
      <c r="S239" s="258">
        <f>S192/Q192-1</f>
        <v>-0.15019247149759296</v>
      </c>
      <c r="T239" s="259">
        <f t="shared" ref="T239:V239" si="456">T192/S192-1</f>
        <v>3.5796676387372051E-2</v>
      </c>
      <c r="U239" s="258">
        <f t="shared" si="456"/>
        <v>4.7566083384066884</v>
      </c>
      <c r="V239" s="259">
        <f t="shared" si="456"/>
        <v>-0.67167288618794707</v>
      </c>
      <c r="W239" s="957"/>
      <c r="X239" s="259">
        <f>X192/V192-1</f>
        <v>1.0086319680285567</v>
      </c>
      <c r="Y239" s="258">
        <f t="shared" ref="Y239:Z239" si="457">Y192/X192-1</f>
        <v>9.9835612589523448E-2</v>
      </c>
      <c r="Z239" s="259">
        <f t="shared" si="457"/>
        <v>-0.31724261157413913</v>
      </c>
      <c r="AA239" s="259">
        <f>AVERAGE(X239:Z239,V239)</f>
        <v>2.9888020713998487E-2</v>
      </c>
      <c r="AB239" s="963"/>
      <c r="AC239" s="259">
        <f>AVERAGE(X239:AA239)</f>
        <v>0.20527824743948486</v>
      </c>
      <c r="AD239" s="259">
        <f>AVERAGE(AC239,Y239:AA239)</f>
        <v>4.439817292216916E-3</v>
      </c>
      <c r="AE239" s="259">
        <f>AVERAGE(AC239:AD239,Z239:AA239)</f>
        <v>-1.9409131532109714E-2</v>
      </c>
      <c r="AF239" s="259">
        <f>AVERAGE(AC239:AE239,AA239)</f>
        <v>5.5049238478397641E-2</v>
      </c>
      <c r="AG239" s="963"/>
      <c r="AH239" s="259">
        <f>AVERAGE(AC239:AF239)</f>
        <v>6.1339542919497433E-2</v>
      </c>
      <c r="AI239" s="259">
        <f>AVERAGE(AH239,AD239:AF239)</f>
        <v>2.5354866789500569E-2</v>
      </c>
      <c r="AJ239" s="259">
        <f>AVERAGE(AH239:AI239,AE239:AF239)</f>
        <v>3.0583629163821482E-2</v>
      </c>
      <c r="AK239" s="259">
        <f>AVERAGE(AH239:AJ239,AF239)</f>
        <v>4.3081819337804278E-2</v>
      </c>
      <c r="AL239" s="963"/>
      <c r="AM239" s="259">
        <f>AVERAGE(AH239:AK239)</f>
        <v>4.0089964552655941E-2</v>
      </c>
      <c r="AN239" s="259">
        <f>AVERAGE(AM239,AI239:AK239)</f>
        <v>3.4777569960945567E-2</v>
      </c>
      <c r="AO239" s="259">
        <f>AVERAGE(AM239:AN239,AJ239:AK239)</f>
        <v>3.7133245753806818E-2</v>
      </c>
      <c r="AP239" s="259">
        <f>AVERAGE(AM239:AO239,AK239)</f>
        <v>3.8770649901303147E-2</v>
      </c>
      <c r="AQ239" s="672"/>
    </row>
    <row r="240" spans="1:66" ht="15.75" customHeight="1">
      <c r="B240" s="869" t="s">
        <v>273</v>
      </c>
      <c r="C240" s="870"/>
      <c r="D240" s="260">
        <f t="shared" ref="D240:Z240" si="458">D217/D218</f>
        <v>-2.382882169982125E-4</v>
      </c>
      <c r="E240" s="261">
        <f t="shared" si="458"/>
        <v>2.727699600095511E-5</v>
      </c>
      <c r="F240" s="260">
        <f t="shared" si="458"/>
        <v>-5.0632993934319972E-5</v>
      </c>
      <c r="G240" s="261">
        <f t="shared" si="458"/>
        <v>1.0970860540073443E-3</v>
      </c>
      <c r="H240" s="953">
        <f t="shared" si="458"/>
        <v>1.0936781015442275E-3</v>
      </c>
      <c r="I240" s="261">
        <f t="shared" si="458"/>
        <v>3.7725318898454088E-4</v>
      </c>
      <c r="J240" s="260">
        <f t="shared" si="458"/>
        <v>-4.1437156906119231E-5</v>
      </c>
      <c r="K240" s="261">
        <f t="shared" si="458"/>
        <v>2.1078596188059171E-4</v>
      </c>
      <c r="L240" s="260">
        <f t="shared" si="458"/>
        <v>9.163619850456807E-3</v>
      </c>
      <c r="M240" s="958">
        <f t="shared" si="458"/>
        <v>1.0761348314440913E-2</v>
      </c>
      <c r="N240" s="260">
        <f t="shared" si="458"/>
        <v>8.473323770916601E-3</v>
      </c>
      <c r="O240" s="261">
        <f t="shared" si="458"/>
        <v>1.6694586412541526E-3</v>
      </c>
      <c r="P240" s="260">
        <f t="shared" si="458"/>
        <v>1.5710829563231644E-3</v>
      </c>
      <c r="Q240" s="261">
        <f t="shared" si="458"/>
        <v>-1.3545801282539745E-3</v>
      </c>
      <c r="R240" s="953">
        <f t="shared" si="458"/>
        <v>1.0716621513920343E-2</v>
      </c>
      <c r="S240" s="261">
        <f t="shared" si="458"/>
        <v>1.0727080038883607E-3</v>
      </c>
      <c r="T240" s="260">
        <f t="shared" si="458"/>
        <v>-9.5085147959832021E-4</v>
      </c>
      <c r="U240" s="261">
        <f t="shared" si="458"/>
        <v>2.1836968780381215E-3</v>
      </c>
      <c r="V240" s="260">
        <f t="shared" si="458"/>
        <v>3.0206035569136356E-3</v>
      </c>
      <c r="W240" s="958">
        <f t="shared" si="458"/>
        <v>5.4275958224195425E-3</v>
      </c>
      <c r="X240" s="260">
        <f t="shared" si="458"/>
        <v>3.19560644169524E-3</v>
      </c>
      <c r="Y240" s="261">
        <f t="shared" si="458"/>
        <v>1.8915432196041785E-4</v>
      </c>
      <c r="Z240" s="260">
        <f t="shared" si="458"/>
        <v>1.3468002534878858E-3</v>
      </c>
      <c r="AA240" s="260">
        <f>AVERAGE(G240,L240,Q240,V240)</f>
        <v>2.981682333280953E-3</v>
      </c>
      <c r="AB240" s="964"/>
      <c r="AC240" s="127">
        <f t="shared" ref="AC240:AF240" si="459">AVERAGE(D240,I240,N240,S240,X240)</f>
        <v>2.5761206376973059E-3</v>
      </c>
      <c r="AD240" s="262">
        <f t="shared" si="459"/>
        <v>1.7872026454221723E-4</v>
      </c>
      <c r="AE240" s="260">
        <f t="shared" si="459"/>
        <v>1.0523466111590886E-3</v>
      </c>
      <c r="AF240" s="261">
        <f t="shared" si="459"/>
        <v>2.981682333280953E-3</v>
      </c>
      <c r="AG240" s="965"/>
      <c r="AH240" s="262">
        <f t="shared" ref="AH240:AK240" si="460">AVERAGE(D240,I240,N240,S240,X240,AC240)</f>
        <v>2.5761206376973059E-3</v>
      </c>
      <c r="AI240" s="127">
        <f t="shared" si="460"/>
        <v>1.7872026454221726E-4</v>
      </c>
      <c r="AJ240" s="261">
        <f t="shared" si="460"/>
        <v>1.0523466111590886E-3</v>
      </c>
      <c r="AK240" s="260">
        <f t="shared" si="460"/>
        <v>2.981682333280953E-3</v>
      </c>
      <c r="AL240" s="965"/>
      <c r="AM240" s="263">
        <v>2.5749913660363887E-3</v>
      </c>
      <c r="AN240" s="264">
        <v>2.5749913660363887E-3</v>
      </c>
      <c r="AO240" s="265">
        <v>1.0527730436608266E-3</v>
      </c>
      <c r="AP240" s="266">
        <v>1.0223801711334386E-3</v>
      </c>
      <c r="AQ240" s="705"/>
    </row>
    <row r="241" spans="2:43" ht="15.75" customHeight="1">
      <c r="B241" s="1"/>
      <c r="C241" s="1"/>
      <c r="D241" s="2"/>
      <c r="E241" s="2"/>
      <c r="F241" s="3"/>
      <c r="G241" s="3"/>
      <c r="H241" s="3"/>
      <c r="I241" s="2"/>
      <c r="J241" s="4"/>
      <c r="K241" s="3"/>
      <c r="L241" s="3"/>
      <c r="M241" s="3"/>
      <c r="N241" s="2"/>
      <c r="O241" s="2"/>
      <c r="P241" s="2"/>
      <c r="Q241" s="2"/>
      <c r="R241" s="2"/>
      <c r="S241" s="2"/>
      <c r="T241" s="2"/>
      <c r="U241" s="3"/>
      <c r="V241" s="3"/>
      <c r="W241" s="3"/>
      <c r="X241" s="2"/>
      <c r="Y241" s="2"/>
      <c r="Z241" s="3"/>
      <c r="AA241" s="3"/>
      <c r="AB241" s="3"/>
      <c r="AC241" s="2"/>
      <c r="AD241" s="2"/>
      <c r="AE241" s="3"/>
      <c r="AF241" s="3"/>
      <c r="AG241" s="3"/>
      <c r="AH241" s="2"/>
      <c r="AI241" s="2"/>
      <c r="AJ241" s="3"/>
      <c r="AK241" s="3"/>
      <c r="AL241" s="3"/>
    </row>
    <row r="242" spans="2:43" ht="15.75" hidden="1" customHeight="1">
      <c r="B242" s="1"/>
      <c r="C242" s="1"/>
      <c r="D242" s="2"/>
      <c r="E242" s="2"/>
      <c r="F242" s="3"/>
      <c r="G242" s="3"/>
      <c r="H242" s="3"/>
      <c r="I242" s="2"/>
      <c r="J242" s="4"/>
      <c r="K242" s="3"/>
      <c r="L242" s="3"/>
      <c r="M242" s="3"/>
      <c r="N242" s="2"/>
      <c r="O242" s="2"/>
      <c r="P242" s="2"/>
      <c r="Q242" s="2"/>
      <c r="R242" s="2"/>
      <c r="S242" s="2"/>
      <c r="T242" s="2"/>
      <c r="U242" s="3"/>
      <c r="V242" s="3"/>
      <c r="W242" s="3"/>
      <c r="X242" s="2"/>
      <c r="Y242" s="2"/>
      <c r="Z242" s="3"/>
      <c r="AA242" s="3"/>
      <c r="AB242" s="3"/>
      <c r="AC242" s="2"/>
      <c r="AD242" s="2"/>
      <c r="AE242" s="3"/>
      <c r="AF242" s="3"/>
      <c r="AG242" s="3"/>
      <c r="AH242" s="2"/>
      <c r="AI242" s="2"/>
      <c r="AJ242" s="3"/>
      <c r="AK242" s="3"/>
      <c r="AL242" s="3"/>
    </row>
    <row r="243" spans="2:43" ht="15.75" hidden="1" customHeight="1">
      <c r="B243" s="759" t="s">
        <v>274</v>
      </c>
      <c r="C243" s="760"/>
      <c r="D243" s="17" t="s">
        <v>9</v>
      </c>
      <c r="E243" s="17" t="s">
        <v>10</v>
      </c>
      <c r="F243" s="18" t="s">
        <v>11</v>
      </c>
      <c r="G243" s="17" t="s">
        <v>12</v>
      </c>
      <c r="H243" s="17" t="s">
        <v>12</v>
      </c>
      <c r="I243" s="17" t="s">
        <v>13</v>
      </c>
      <c r="J243" s="19" t="s">
        <v>14</v>
      </c>
      <c r="K243" s="17" t="s">
        <v>15</v>
      </c>
      <c r="L243" s="17" t="s">
        <v>16</v>
      </c>
      <c r="M243" s="17" t="s">
        <v>16</v>
      </c>
      <c r="N243" s="17" t="s">
        <v>17</v>
      </c>
      <c r="O243" s="17" t="s">
        <v>18</v>
      </c>
      <c r="P243" s="17" t="s">
        <v>19</v>
      </c>
      <c r="Q243" s="17" t="s">
        <v>20</v>
      </c>
      <c r="R243" s="17" t="s">
        <v>20</v>
      </c>
      <c r="S243" s="17" t="s">
        <v>21</v>
      </c>
      <c r="T243" s="17" t="s">
        <v>22</v>
      </c>
      <c r="U243" s="20" t="s">
        <v>23</v>
      </c>
      <c r="V243" s="20" t="s">
        <v>24</v>
      </c>
      <c r="W243" s="20" t="s">
        <v>24</v>
      </c>
      <c r="X243" s="20" t="s">
        <v>25</v>
      </c>
      <c r="Y243" s="20" t="s">
        <v>26</v>
      </c>
      <c r="Z243" s="20" t="s">
        <v>27</v>
      </c>
      <c r="AA243" s="21" t="s">
        <v>28</v>
      </c>
      <c r="AB243" s="21" t="s">
        <v>28</v>
      </c>
      <c r="AC243" s="20" t="s">
        <v>29</v>
      </c>
      <c r="AD243" s="20" t="s">
        <v>30</v>
      </c>
      <c r="AE243" s="20" t="s">
        <v>31</v>
      </c>
      <c r="AF243" s="20" t="s">
        <v>32</v>
      </c>
      <c r="AG243" s="20" t="s">
        <v>32</v>
      </c>
      <c r="AH243" s="20" t="s">
        <v>33</v>
      </c>
      <c r="AI243" s="20" t="s">
        <v>34</v>
      </c>
      <c r="AJ243" s="20" t="s">
        <v>35</v>
      </c>
      <c r="AK243" s="20" t="s">
        <v>36</v>
      </c>
      <c r="AL243" s="20" t="s">
        <v>36</v>
      </c>
      <c r="AM243" s="20" t="s">
        <v>37</v>
      </c>
      <c r="AN243" s="20" t="s">
        <v>38</v>
      </c>
      <c r="AO243" s="20" t="s">
        <v>39</v>
      </c>
      <c r="AP243" s="20" t="s">
        <v>40</v>
      </c>
      <c r="AQ243" s="20" t="s">
        <v>40</v>
      </c>
    </row>
    <row r="244" spans="2:43" ht="15.75" hidden="1" customHeight="1">
      <c r="B244" s="761" t="s">
        <v>41</v>
      </c>
      <c r="C244" s="762"/>
      <c r="D244" s="267" t="s">
        <v>42</v>
      </c>
      <c r="E244" s="267" t="s">
        <v>43</v>
      </c>
      <c r="F244" s="267" t="s">
        <v>44</v>
      </c>
      <c r="G244" s="267" t="s">
        <v>45</v>
      </c>
      <c r="H244" s="267" t="s">
        <v>46</v>
      </c>
      <c r="I244" s="267" t="s">
        <v>47</v>
      </c>
      <c r="J244" s="268" t="s">
        <v>48</v>
      </c>
      <c r="K244" s="267" t="s">
        <v>49</v>
      </c>
      <c r="L244" s="267" t="s">
        <v>50</v>
      </c>
      <c r="M244" s="267" t="s">
        <v>51</v>
      </c>
      <c r="N244" s="267" t="s">
        <v>52</v>
      </c>
      <c r="O244" s="267" t="s">
        <v>53</v>
      </c>
      <c r="P244" s="267" t="s">
        <v>54</v>
      </c>
      <c r="Q244" s="267" t="s">
        <v>55</v>
      </c>
      <c r="R244" s="267" t="s">
        <v>56</v>
      </c>
      <c r="S244" s="267" t="s">
        <v>57</v>
      </c>
      <c r="T244" s="267" t="s">
        <v>58</v>
      </c>
      <c r="U244" s="24" t="s">
        <v>59</v>
      </c>
      <c r="V244" s="24" t="s">
        <v>60</v>
      </c>
      <c r="W244" s="24" t="s">
        <v>61</v>
      </c>
      <c r="X244" s="24" t="s">
        <v>62</v>
      </c>
      <c r="Y244" s="24" t="s">
        <v>63</v>
      </c>
      <c r="Z244" s="24" t="s">
        <v>64</v>
      </c>
      <c r="AA244" s="23" t="s">
        <v>65</v>
      </c>
      <c r="AB244" s="24" t="s">
        <v>135</v>
      </c>
      <c r="AC244" s="24" t="s">
        <v>136</v>
      </c>
      <c r="AD244" s="24" t="s">
        <v>68</v>
      </c>
      <c r="AE244" s="24" t="s">
        <v>69</v>
      </c>
      <c r="AF244" s="24" t="s">
        <v>70</v>
      </c>
      <c r="AG244" s="24" t="s">
        <v>71</v>
      </c>
      <c r="AH244" s="24" t="s">
        <v>72</v>
      </c>
      <c r="AI244" s="24" t="s">
        <v>73</v>
      </c>
      <c r="AJ244" s="24" t="s">
        <v>74</v>
      </c>
      <c r="AK244" s="24" t="s">
        <v>75</v>
      </c>
      <c r="AL244" s="24" t="s">
        <v>76</v>
      </c>
      <c r="AM244" s="24" t="s">
        <v>77</v>
      </c>
      <c r="AN244" s="24" t="s">
        <v>78</v>
      </c>
      <c r="AO244" s="24" t="s">
        <v>79</v>
      </c>
      <c r="AP244" s="24" t="s">
        <v>80</v>
      </c>
      <c r="AQ244" s="24" t="s">
        <v>81</v>
      </c>
    </row>
    <row r="245" spans="2:43" ht="15.75" hidden="1" customHeight="1">
      <c r="B245" s="269" t="s">
        <v>275</v>
      </c>
      <c r="C245" s="270"/>
      <c r="D245" s="271">
        <v>450</v>
      </c>
      <c r="E245" s="272">
        <v>462</v>
      </c>
      <c r="F245" s="273">
        <v>475</v>
      </c>
      <c r="G245" s="273">
        <v>495</v>
      </c>
      <c r="H245" s="274">
        <v>1882</v>
      </c>
      <c r="I245" s="272">
        <v>442</v>
      </c>
      <c r="J245" s="275">
        <v>458</v>
      </c>
      <c r="K245" s="273">
        <v>465</v>
      </c>
      <c r="L245" s="273">
        <v>470</v>
      </c>
      <c r="M245" s="274">
        <v>1835</v>
      </c>
      <c r="N245" s="272">
        <v>451</v>
      </c>
      <c r="O245" s="272">
        <v>625</v>
      </c>
      <c r="P245" s="272">
        <v>592</v>
      </c>
      <c r="Q245" s="272">
        <v>642</v>
      </c>
      <c r="R245" s="272">
        <v>2310</v>
      </c>
      <c r="S245" s="272">
        <v>569</v>
      </c>
      <c r="T245" s="272">
        <v>573</v>
      </c>
      <c r="U245" s="276">
        <v>595.78</v>
      </c>
      <c r="V245" s="276">
        <v>594.15</v>
      </c>
      <c r="W245" s="277">
        <v>2318.6533840000002</v>
      </c>
      <c r="X245" s="278">
        <v>528.90016200000002</v>
      </c>
      <c r="Y245" s="278">
        <f>1069.944207-X245</f>
        <v>541.04404499999998</v>
      </c>
      <c r="Z245" s="278">
        <f>1625.981341-SUM(X245:Y245)</f>
        <v>556.03713399999992</v>
      </c>
      <c r="AA245" s="276">
        <f t="shared" ref="AA245:AQ245" si="461">AA146*Z91</f>
        <v>573.80603796955131</v>
      </c>
      <c r="AB245" s="276">
        <f t="shared" si="461"/>
        <v>0</v>
      </c>
      <c r="AC245" s="276">
        <f t="shared" si="461"/>
        <v>583.17153693089301</v>
      </c>
      <c r="AD245" s="276">
        <f t="shared" si="461"/>
        <v>598.82610946340981</v>
      </c>
      <c r="AE245" s="276">
        <f t="shared" si="461"/>
        <v>599.00640680177048</v>
      </c>
      <c r="AF245" s="276">
        <f t="shared" si="461"/>
        <v>617.86102113638105</v>
      </c>
      <c r="AG245" s="276">
        <f t="shared" si="461"/>
        <v>0</v>
      </c>
      <c r="AH245" s="276">
        <f t="shared" si="461"/>
        <v>617.91076550888272</v>
      </c>
      <c r="AI245" s="276">
        <f t="shared" si="461"/>
        <v>637.61304207009903</v>
      </c>
      <c r="AJ245" s="276">
        <f t="shared" si="461"/>
        <v>638.27812094950525</v>
      </c>
      <c r="AK245" s="276">
        <f t="shared" si="461"/>
        <v>659.40501448063878</v>
      </c>
      <c r="AL245" s="276">
        <f t="shared" si="461"/>
        <v>0</v>
      </c>
      <c r="AM245" s="276">
        <f t="shared" si="461"/>
        <v>660.6605423871589</v>
      </c>
      <c r="AN245" s="276">
        <f t="shared" si="461"/>
        <v>684.40616156501551</v>
      </c>
      <c r="AO245" s="276">
        <f t="shared" si="461"/>
        <v>685.27817933336121</v>
      </c>
      <c r="AP245" s="276">
        <f t="shared" si="461"/>
        <v>710.40886837701441</v>
      </c>
      <c r="AQ245" s="246">
        <f t="shared" si="461"/>
        <v>0</v>
      </c>
    </row>
    <row r="246" spans="2:43" ht="15.75" customHeight="1">
      <c r="B246" s="1"/>
      <c r="C246" s="1"/>
      <c r="D246" s="2"/>
      <c r="E246" s="2"/>
      <c r="F246" s="3"/>
      <c r="G246" s="3"/>
      <c r="H246" s="3"/>
      <c r="I246" s="2"/>
      <c r="J246" s="4"/>
      <c r="K246" s="3"/>
      <c r="L246" s="3"/>
      <c r="M246" s="3"/>
      <c r="N246" s="2"/>
      <c r="O246" s="2"/>
      <c r="P246" s="2"/>
      <c r="Q246" s="2"/>
      <c r="R246" s="2"/>
      <c r="S246" s="2"/>
      <c r="T246" s="2"/>
      <c r="U246" s="3"/>
      <c r="V246" s="3"/>
      <c r="W246" s="3"/>
      <c r="X246" s="2"/>
      <c r="Y246" s="2"/>
      <c r="Z246" s="3"/>
      <c r="AA246" s="3"/>
      <c r="AB246" s="3"/>
      <c r="AC246" s="2"/>
      <c r="AD246" s="2"/>
      <c r="AE246" s="3"/>
      <c r="AF246" s="3"/>
      <c r="AG246" s="3"/>
      <c r="AH246" s="2"/>
      <c r="AI246" s="2"/>
      <c r="AJ246" s="3"/>
      <c r="AK246" s="3"/>
      <c r="AL246" s="3"/>
    </row>
    <row r="247" spans="2:43" ht="15.75" customHeight="1">
      <c r="B247" s="1"/>
      <c r="C247" s="1"/>
      <c r="D247" s="2"/>
      <c r="E247" s="2"/>
      <c r="F247" s="3"/>
      <c r="G247" s="3"/>
      <c r="H247" s="3"/>
      <c r="I247" s="2"/>
      <c r="J247" s="4"/>
      <c r="K247" s="3"/>
      <c r="L247" s="3"/>
      <c r="M247" s="3"/>
      <c r="N247" s="2"/>
      <c r="O247" s="2"/>
      <c r="P247" s="2"/>
      <c r="Q247" s="2"/>
      <c r="R247" s="2"/>
      <c r="S247" s="2"/>
      <c r="T247" s="2"/>
      <c r="U247" s="3"/>
      <c r="V247" s="3"/>
      <c r="W247" s="3"/>
      <c r="X247" s="2"/>
      <c r="Y247" s="2"/>
      <c r="Z247" s="3"/>
      <c r="AA247" s="3"/>
      <c r="AB247" s="3"/>
      <c r="AC247" s="2"/>
      <c r="AD247" s="2"/>
      <c r="AE247" s="3"/>
      <c r="AF247" s="3"/>
      <c r="AG247" s="3"/>
      <c r="AH247" s="2"/>
      <c r="AI247" s="2"/>
      <c r="AJ247" s="3"/>
      <c r="AK247" s="3"/>
      <c r="AL247" s="3"/>
    </row>
    <row r="248" spans="2:43" ht="15.75" customHeight="1">
      <c r="B248" s="755" t="s">
        <v>276</v>
      </c>
      <c r="C248" s="756"/>
      <c r="D248" s="2"/>
      <c r="E248" s="2"/>
      <c r="F248" s="3"/>
      <c r="G248" s="3"/>
      <c r="H248" s="3"/>
      <c r="I248" s="2"/>
      <c r="J248" s="4"/>
      <c r="K248" s="3"/>
      <c r="L248" s="3"/>
      <c r="M248" s="3"/>
      <c r="N248" s="2"/>
      <c r="O248" s="2"/>
      <c r="P248" s="2"/>
      <c r="Q248" s="2"/>
      <c r="R248" s="2"/>
      <c r="S248" s="2"/>
      <c r="T248" s="2"/>
      <c r="U248" s="3"/>
      <c r="V248" s="3"/>
      <c r="W248" s="3"/>
      <c r="X248" s="2"/>
      <c r="Y248" s="2"/>
      <c r="Z248" s="3"/>
      <c r="AA248" s="3"/>
      <c r="AB248" s="3"/>
      <c r="AC248" s="2"/>
      <c r="AD248" s="2"/>
      <c r="AE248" s="3"/>
      <c r="AF248" s="3"/>
      <c r="AG248" s="3"/>
      <c r="AH248" s="2"/>
      <c r="AI248" s="2"/>
      <c r="AJ248" s="3"/>
      <c r="AK248" s="3"/>
      <c r="AL248" s="3"/>
    </row>
    <row r="249" spans="2:43" ht="15.75" customHeight="1">
      <c r="B249" s="195" t="s">
        <v>277</v>
      </c>
      <c r="C249" s="279">
        <f>PE!G4</f>
        <v>9.4368103878129475</v>
      </c>
      <c r="D249" s="2"/>
      <c r="E249" s="2"/>
      <c r="F249" s="3"/>
      <c r="G249" s="3"/>
      <c r="H249" s="3"/>
      <c r="I249" s="2"/>
      <c r="J249" s="4"/>
      <c r="K249" s="3"/>
      <c r="L249" s="3"/>
      <c r="M249" s="3"/>
      <c r="N249" s="2"/>
      <c r="O249" s="2"/>
      <c r="P249" s="2"/>
      <c r="Q249" s="2"/>
      <c r="R249" s="2"/>
      <c r="S249" s="2"/>
      <c r="T249" s="2"/>
      <c r="U249" s="3"/>
      <c r="V249" s="3"/>
      <c r="W249" s="3"/>
      <c r="X249" s="2"/>
      <c r="Y249" s="2"/>
      <c r="Z249" s="3"/>
      <c r="AA249" s="3"/>
      <c r="AB249" s="3"/>
      <c r="AC249" s="2"/>
      <c r="AD249" s="2"/>
      <c r="AE249" s="3"/>
      <c r="AF249" s="3"/>
      <c r="AG249" s="3"/>
      <c r="AH249" s="2"/>
      <c r="AI249" s="2"/>
      <c r="AJ249" s="3"/>
      <c r="AK249" s="3"/>
      <c r="AL249" s="3"/>
    </row>
    <row r="250" spans="2:43" ht="15.75" customHeight="1">
      <c r="B250" s="195" t="s">
        <v>278</v>
      </c>
      <c r="C250" s="279">
        <f>PE!G5</f>
        <v>10.190880516362855</v>
      </c>
      <c r="D250" s="2"/>
      <c r="E250" s="2"/>
      <c r="F250" s="3"/>
      <c r="G250" s="3"/>
      <c r="H250" s="3"/>
      <c r="I250" s="2"/>
      <c r="J250" s="4"/>
      <c r="K250" s="3"/>
      <c r="L250" s="3"/>
      <c r="M250" s="3"/>
      <c r="N250" s="2"/>
      <c r="O250" s="2"/>
      <c r="P250" s="2"/>
      <c r="Q250" s="2"/>
      <c r="R250" s="2"/>
      <c r="S250" s="2"/>
      <c r="T250" s="2"/>
      <c r="U250" s="3"/>
      <c r="V250" s="3"/>
      <c r="W250" s="3"/>
      <c r="X250" s="2"/>
      <c r="Y250" s="2"/>
      <c r="Z250" s="3"/>
      <c r="AA250" s="3"/>
      <c r="AB250" s="3"/>
      <c r="AC250" s="2"/>
      <c r="AD250" s="2"/>
      <c r="AE250" s="3"/>
      <c r="AF250" s="3"/>
      <c r="AG250" s="3"/>
      <c r="AH250" s="2"/>
      <c r="AI250" s="2"/>
      <c r="AJ250" s="3"/>
      <c r="AK250" s="3"/>
      <c r="AL250" s="3"/>
    </row>
    <row r="251" spans="2:43" ht="15.75" customHeight="1">
      <c r="B251" s="195" t="s">
        <v>279</v>
      </c>
      <c r="C251" s="279">
        <f>PE!G6</f>
        <v>8.8105353670985807</v>
      </c>
      <c r="D251" s="2"/>
      <c r="E251" s="2"/>
      <c r="F251" s="3"/>
      <c r="G251" s="3"/>
      <c r="H251" s="3"/>
      <c r="I251" s="2"/>
      <c r="J251" s="4"/>
      <c r="K251" s="3"/>
      <c r="L251" s="3"/>
      <c r="M251" s="3"/>
      <c r="N251" s="2"/>
      <c r="O251" s="2"/>
      <c r="P251" s="2"/>
      <c r="Q251" s="2"/>
      <c r="R251" s="2"/>
      <c r="S251" s="2"/>
      <c r="T251" s="2"/>
      <c r="U251" s="3"/>
      <c r="V251" s="3"/>
      <c r="W251" s="3"/>
      <c r="X251" s="2"/>
      <c r="Y251" s="2"/>
      <c r="Z251" s="3"/>
      <c r="AA251" s="3"/>
      <c r="AB251" s="3"/>
      <c r="AC251" s="2"/>
      <c r="AD251" s="2"/>
      <c r="AE251" s="3"/>
      <c r="AF251" s="3"/>
      <c r="AG251" s="3"/>
      <c r="AH251" s="2"/>
      <c r="AI251" s="2"/>
      <c r="AJ251" s="3"/>
      <c r="AK251" s="3"/>
      <c r="AL251" s="3"/>
    </row>
    <row r="252" spans="2:43" ht="15.75" customHeight="1">
      <c r="B252" s="195" t="s">
        <v>280</v>
      </c>
      <c r="C252" s="279">
        <f>PE!G4</f>
        <v>9.4368103878129475</v>
      </c>
      <c r="D252" s="2"/>
      <c r="E252" s="2"/>
      <c r="F252" s="3"/>
      <c r="G252" s="3"/>
      <c r="H252" s="3"/>
      <c r="I252" s="2"/>
      <c r="J252" s="4"/>
      <c r="K252" s="3"/>
      <c r="L252" s="3"/>
      <c r="M252" s="3"/>
      <c r="N252" s="2"/>
      <c r="O252" s="2"/>
      <c r="P252" s="2"/>
      <c r="Q252" s="2"/>
      <c r="R252" s="2"/>
      <c r="S252" s="2"/>
      <c r="T252" s="2"/>
      <c r="U252" s="3"/>
      <c r="V252" s="3"/>
      <c r="W252" s="3"/>
      <c r="X252" s="2"/>
      <c r="Y252" s="2"/>
      <c r="Z252" s="3"/>
      <c r="AA252" s="3"/>
      <c r="AB252" s="3"/>
      <c r="AC252" s="2"/>
      <c r="AD252" s="2"/>
      <c r="AE252" s="3"/>
      <c r="AF252" s="3"/>
      <c r="AG252" s="3"/>
      <c r="AH252" s="2"/>
      <c r="AI252" s="2"/>
      <c r="AJ252" s="3"/>
      <c r="AK252" s="3"/>
      <c r="AL252" s="3"/>
    </row>
    <row r="253" spans="2:43" ht="15.75" customHeight="1">
      <c r="B253" s="195" t="s">
        <v>281</v>
      </c>
      <c r="C253" s="280">
        <f>+Z228</f>
        <v>67.33819317099092</v>
      </c>
      <c r="D253" s="2"/>
      <c r="E253" s="2"/>
      <c r="F253" s="3"/>
      <c r="G253" s="3"/>
      <c r="H253" s="3"/>
      <c r="I253" s="2"/>
      <c r="J253" s="4"/>
      <c r="K253" s="3"/>
      <c r="L253" s="3"/>
      <c r="M253" s="3"/>
      <c r="N253" s="2"/>
      <c r="O253" s="2"/>
      <c r="P253" s="2"/>
      <c r="Q253" s="2"/>
      <c r="R253" s="2"/>
      <c r="S253" s="2"/>
      <c r="T253" s="2"/>
      <c r="U253" s="3"/>
      <c r="V253" s="3"/>
      <c r="W253" s="3"/>
      <c r="X253" s="2"/>
      <c r="Y253" s="2"/>
      <c r="Z253" s="3"/>
      <c r="AA253" s="3"/>
      <c r="AB253" s="3"/>
      <c r="AC253" s="2"/>
      <c r="AD253" s="2"/>
      <c r="AE253" s="3"/>
      <c r="AF253" s="3"/>
      <c r="AG253" s="3"/>
      <c r="AH253" s="2"/>
      <c r="AI253" s="2"/>
      <c r="AJ253" s="3"/>
      <c r="AK253" s="3"/>
      <c r="AL253" s="3"/>
    </row>
    <row r="254" spans="2:43" ht="15.75" customHeight="1">
      <c r="B254" s="195" t="s">
        <v>282</v>
      </c>
      <c r="C254" s="533">
        <v>0</v>
      </c>
      <c r="D254" s="2"/>
      <c r="E254" s="2"/>
      <c r="F254" s="3"/>
      <c r="G254" s="3"/>
      <c r="H254" s="3"/>
      <c r="I254" s="2"/>
      <c r="J254" s="4"/>
      <c r="K254" s="3"/>
      <c r="L254" s="3"/>
      <c r="M254" s="3"/>
      <c r="N254" s="2"/>
      <c r="O254" s="2"/>
      <c r="P254" s="2"/>
      <c r="Q254" s="2"/>
      <c r="R254" s="2"/>
      <c r="S254" s="2"/>
      <c r="T254" s="2"/>
      <c r="U254" s="3"/>
      <c r="V254" s="3"/>
      <c r="W254" s="3"/>
      <c r="X254" s="2"/>
      <c r="Y254" s="2"/>
      <c r="Z254" s="3"/>
      <c r="AA254" s="3"/>
      <c r="AB254" s="3"/>
      <c r="AC254" s="2"/>
      <c r="AD254" s="2"/>
      <c r="AE254" s="3"/>
      <c r="AF254" s="3"/>
      <c r="AG254" s="3"/>
      <c r="AH254" s="2"/>
      <c r="AI254" s="2"/>
      <c r="AJ254" s="3"/>
      <c r="AK254" s="3"/>
      <c r="AL254" s="3"/>
    </row>
    <row r="255" spans="2:43" ht="15.75" customHeight="1">
      <c r="B255" s="195" t="s">
        <v>283</v>
      </c>
      <c r="C255" s="282">
        <f>C253-C254</f>
        <v>67.33819317099092</v>
      </c>
      <c r="D255" s="2"/>
      <c r="E255" s="2"/>
      <c r="F255" s="3"/>
      <c r="G255" s="3"/>
      <c r="H255" s="3"/>
      <c r="I255" s="2"/>
      <c r="J255" s="4"/>
      <c r="K255" s="3"/>
      <c r="L255" s="3"/>
      <c r="M255" s="3"/>
      <c r="N255" s="2"/>
      <c r="O255" s="2"/>
      <c r="P255" s="2"/>
      <c r="Q255" s="2"/>
      <c r="R255" s="2"/>
      <c r="S255" s="2"/>
      <c r="T255" s="2"/>
      <c r="U255" s="3"/>
      <c r="V255" s="3"/>
      <c r="W255" s="3"/>
      <c r="X255" s="2"/>
      <c r="Y255" s="2"/>
      <c r="Z255" s="3"/>
      <c r="AA255" s="3"/>
      <c r="AB255" s="3"/>
      <c r="AC255" s="2"/>
      <c r="AD255" s="2"/>
      <c r="AE255" s="3"/>
      <c r="AF255" s="3"/>
      <c r="AG255" s="3"/>
      <c r="AH255" s="2"/>
      <c r="AI255" s="2"/>
      <c r="AJ255" s="3"/>
      <c r="AK255" s="3"/>
      <c r="AL255" s="3"/>
    </row>
    <row r="256" spans="2:43" ht="15.75" customHeight="1">
      <c r="B256" s="283" t="s">
        <v>5</v>
      </c>
      <c r="C256" s="639">
        <f>(C252*(AA43+AC43+AD43+AE43))+C255</f>
        <v>381.43068689979265</v>
      </c>
      <c r="D256" s="2"/>
      <c r="E256" s="2"/>
      <c r="F256" s="3"/>
      <c r="G256" s="3"/>
      <c r="H256" s="3"/>
      <c r="I256" s="2"/>
      <c r="J256" s="4"/>
      <c r="K256" s="3"/>
      <c r="L256" s="3"/>
      <c r="M256" s="3"/>
      <c r="N256" s="2"/>
      <c r="O256" s="2"/>
      <c r="P256" s="2"/>
      <c r="Q256" s="2"/>
      <c r="R256" s="2"/>
      <c r="S256" s="2"/>
      <c r="T256" s="2"/>
      <c r="U256" s="3"/>
      <c r="V256" s="3"/>
      <c r="W256" s="3"/>
      <c r="X256" s="2"/>
      <c r="Y256" s="2"/>
      <c r="Z256" s="3"/>
      <c r="AA256" s="3"/>
      <c r="AB256" s="3"/>
      <c r="AC256" s="2"/>
      <c r="AD256" s="2"/>
      <c r="AE256" s="3"/>
      <c r="AF256" s="3"/>
      <c r="AG256" s="3"/>
      <c r="AH256" s="2"/>
      <c r="AI256" s="2"/>
      <c r="AJ256" s="3"/>
      <c r="AK256" s="3"/>
      <c r="AL256" s="3"/>
    </row>
    <row r="257" spans="2:38" ht="15.75" customHeight="1">
      <c r="B257" s="763" t="s">
        <v>284</v>
      </c>
      <c r="C257" s="736"/>
      <c r="D257" s="2"/>
      <c r="E257" s="2"/>
      <c r="F257" s="3"/>
      <c r="G257" s="3"/>
      <c r="H257" s="3"/>
      <c r="I257" s="2"/>
      <c r="J257" s="4"/>
      <c r="K257" s="3"/>
      <c r="L257" s="3"/>
      <c r="M257" s="3"/>
      <c r="N257" s="2"/>
      <c r="O257" s="2"/>
      <c r="P257" s="2"/>
      <c r="Q257" s="2"/>
      <c r="R257" s="2"/>
      <c r="S257" s="2"/>
      <c r="T257" s="2"/>
      <c r="U257" s="3"/>
      <c r="V257" s="3"/>
      <c r="W257" s="3"/>
      <c r="X257" s="2"/>
      <c r="Y257" s="2"/>
      <c r="Z257" s="3"/>
      <c r="AA257" s="3"/>
      <c r="AB257" s="3"/>
      <c r="AC257" s="2"/>
      <c r="AD257" s="2"/>
      <c r="AE257" s="3"/>
      <c r="AF257" s="3"/>
      <c r="AG257" s="3"/>
      <c r="AH257" s="2"/>
      <c r="AI257" s="2"/>
      <c r="AJ257" s="3"/>
      <c r="AK257" s="3"/>
      <c r="AL257" s="3"/>
    </row>
    <row r="258" spans="2:38" ht="15.75" customHeight="1">
      <c r="B258" s="753" t="s">
        <v>285</v>
      </c>
      <c r="C258" s="754"/>
      <c r="D258" s="2"/>
      <c r="E258" s="2"/>
      <c r="F258" s="3"/>
      <c r="G258" s="3"/>
      <c r="H258" s="3"/>
      <c r="I258" s="2"/>
      <c r="J258" s="4"/>
      <c r="K258" s="3"/>
      <c r="L258" s="3"/>
      <c r="M258" s="3"/>
      <c r="N258" s="2"/>
      <c r="O258" s="2"/>
      <c r="P258" s="2"/>
      <c r="Q258" s="2"/>
      <c r="R258" s="2"/>
      <c r="S258" s="2"/>
      <c r="T258" s="2"/>
      <c r="U258" s="3"/>
      <c r="V258" s="3"/>
      <c r="W258" s="3"/>
      <c r="X258" s="2"/>
      <c r="Y258" s="2"/>
      <c r="Z258" s="3"/>
      <c r="AA258" s="3"/>
      <c r="AB258" s="3"/>
      <c r="AC258" s="2"/>
      <c r="AD258" s="2"/>
      <c r="AE258" s="3"/>
      <c r="AF258" s="3"/>
      <c r="AG258" s="3"/>
      <c r="AH258" s="2"/>
      <c r="AI258" s="2"/>
      <c r="AJ258" s="3"/>
      <c r="AK258" s="3"/>
      <c r="AL258" s="3"/>
    </row>
    <row r="259" spans="2:38" ht="15.75" customHeight="1">
      <c r="B259" s="284"/>
      <c r="C259" s="285"/>
      <c r="D259" s="2"/>
      <c r="E259" s="2"/>
      <c r="F259" s="3"/>
      <c r="G259" s="3"/>
      <c r="H259" s="3"/>
      <c r="I259" s="2"/>
      <c r="J259" s="4"/>
      <c r="K259" s="3"/>
      <c r="L259" s="3"/>
      <c r="M259" s="3"/>
      <c r="N259" s="2"/>
      <c r="O259" s="2"/>
      <c r="P259" s="2"/>
      <c r="Q259" s="2"/>
      <c r="R259" s="2"/>
      <c r="S259" s="2"/>
      <c r="T259" s="2"/>
      <c r="U259" s="3"/>
      <c r="V259" s="3"/>
      <c r="W259" s="3"/>
      <c r="X259" s="2"/>
      <c r="Y259" s="2"/>
      <c r="Z259" s="3"/>
      <c r="AA259" s="3"/>
      <c r="AB259" s="3"/>
      <c r="AC259" s="2"/>
      <c r="AD259" s="2"/>
      <c r="AE259" s="3"/>
      <c r="AF259" s="3"/>
      <c r="AG259" s="3"/>
      <c r="AH259" s="2"/>
      <c r="AI259" s="2"/>
      <c r="AJ259" s="3"/>
      <c r="AK259" s="3"/>
      <c r="AL259" s="3"/>
    </row>
    <row r="260" spans="2:38" ht="15.75" customHeight="1">
      <c r="B260" s="755" t="s">
        <v>286</v>
      </c>
      <c r="C260" s="764"/>
      <c r="D260" s="2"/>
      <c r="E260" s="2"/>
      <c r="F260" s="3"/>
      <c r="G260" s="3"/>
      <c r="H260" s="3"/>
      <c r="I260" s="2"/>
      <c r="J260" s="4"/>
      <c r="K260" s="3"/>
      <c r="L260" s="3"/>
      <c r="M260" s="3"/>
      <c r="N260" s="2"/>
      <c r="O260" s="2"/>
      <c r="P260" s="2"/>
      <c r="Q260" s="2"/>
      <c r="R260" s="2"/>
      <c r="S260" s="2"/>
      <c r="T260" s="2"/>
      <c r="U260" s="3"/>
      <c r="V260" s="3"/>
      <c r="W260" s="3"/>
      <c r="X260" s="2"/>
      <c r="Y260" s="2"/>
      <c r="Z260" s="3"/>
      <c r="AA260" s="3"/>
      <c r="AB260" s="3"/>
      <c r="AC260" s="2"/>
      <c r="AD260" s="2"/>
      <c r="AE260" s="3"/>
      <c r="AF260" s="3"/>
      <c r="AG260" s="3"/>
      <c r="AH260" s="2"/>
      <c r="AI260" s="2"/>
      <c r="AJ260" s="3"/>
      <c r="AK260" s="3"/>
      <c r="AL260" s="3"/>
    </row>
    <row r="261" spans="2:38" ht="15.75" customHeight="1">
      <c r="B261" s="193" t="s">
        <v>287</v>
      </c>
      <c r="C261" s="286"/>
      <c r="D261" s="2"/>
      <c r="E261" s="2"/>
      <c r="F261" s="3"/>
      <c r="G261" s="3"/>
      <c r="H261" s="3"/>
      <c r="I261" s="2"/>
      <c r="J261" s="4"/>
      <c r="K261" s="3"/>
      <c r="L261" s="3"/>
      <c r="M261" s="3"/>
      <c r="N261" s="2"/>
      <c r="O261" s="2"/>
      <c r="P261" s="2"/>
      <c r="Q261" s="2"/>
      <c r="R261" s="2"/>
      <c r="S261" s="2"/>
      <c r="T261" s="2"/>
      <c r="U261" s="3"/>
      <c r="V261" s="3"/>
      <c r="W261" s="3"/>
      <c r="X261" s="2"/>
      <c r="Y261" s="2"/>
      <c r="Z261" s="3"/>
      <c r="AA261" s="3"/>
      <c r="AB261" s="3"/>
      <c r="AC261" s="2"/>
      <c r="AD261" s="2"/>
      <c r="AE261" s="3"/>
      <c r="AF261" s="3"/>
      <c r="AG261" s="3"/>
      <c r="AH261" s="2"/>
      <c r="AI261" s="2"/>
      <c r="AJ261" s="3"/>
      <c r="AK261" s="3"/>
      <c r="AL261" s="3"/>
    </row>
    <row r="262" spans="2:38" ht="15.75" customHeight="1">
      <c r="B262" s="287" t="s">
        <v>288</v>
      </c>
      <c r="C262" s="535">
        <v>210.1</v>
      </c>
      <c r="D262" s="2"/>
      <c r="E262" s="2"/>
      <c r="F262" s="3"/>
      <c r="G262" s="3"/>
      <c r="H262" s="3"/>
      <c r="I262" s="2"/>
      <c r="J262" s="4"/>
      <c r="K262" s="3"/>
      <c r="L262" s="3"/>
      <c r="M262" s="3"/>
      <c r="N262" s="2"/>
      <c r="O262" s="2"/>
      <c r="P262" s="2"/>
      <c r="Q262" s="2"/>
      <c r="R262" s="2"/>
      <c r="S262" s="2"/>
      <c r="T262" s="2"/>
      <c r="U262" s="3"/>
      <c r="V262" s="3"/>
      <c r="W262" s="3"/>
      <c r="X262" s="2"/>
      <c r="Y262" s="2"/>
      <c r="Z262" s="3"/>
      <c r="AA262" s="3"/>
      <c r="AB262" s="3"/>
      <c r="AC262" s="2"/>
      <c r="AD262" s="2"/>
      <c r="AE262" s="3"/>
      <c r="AF262" s="3"/>
      <c r="AG262" s="3"/>
      <c r="AH262" s="2"/>
      <c r="AI262" s="2"/>
      <c r="AJ262" s="3"/>
      <c r="AK262" s="3"/>
      <c r="AL262" s="3"/>
    </row>
    <row r="263" spans="2:38" ht="15.75" customHeight="1">
      <c r="B263" s="195" t="s">
        <v>289</v>
      </c>
      <c r="C263" s="288">
        <v>886.45101</v>
      </c>
      <c r="D263" s="2"/>
      <c r="E263" s="2"/>
      <c r="F263" s="3"/>
      <c r="G263" s="3"/>
      <c r="H263" s="3"/>
      <c r="I263" s="2"/>
      <c r="J263" s="4"/>
      <c r="K263" s="3"/>
      <c r="L263" s="3"/>
      <c r="M263" s="3"/>
      <c r="N263" s="2"/>
      <c r="O263" s="2"/>
      <c r="P263" s="2"/>
      <c r="Q263" s="2"/>
      <c r="R263" s="2"/>
      <c r="S263" s="2"/>
      <c r="T263" s="2"/>
      <c r="U263" s="3"/>
      <c r="V263" s="3"/>
      <c r="W263" s="3"/>
      <c r="X263" s="2"/>
      <c r="Y263" s="2"/>
      <c r="Z263" s="3"/>
      <c r="AA263" s="3"/>
      <c r="AB263" s="3"/>
      <c r="AC263" s="2"/>
      <c r="AD263" s="2"/>
      <c r="AE263" s="3"/>
      <c r="AF263" s="3"/>
      <c r="AG263" s="3"/>
      <c r="AH263" s="2"/>
      <c r="AI263" s="2"/>
      <c r="AJ263" s="3"/>
      <c r="AK263" s="3"/>
      <c r="AL263" s="3"/>
    </row>
    <row r="264" spans="2:38" ht="15.75" customHeight="1">
      <c r="B264" s="289" t="s">
        <v>290</v>
      </c>
      <c r="C264" s="290">
        <f>C262*C263</f>
        <v>186243.35720100001</v>
      </c>
      <c r="D264" s="2"/>
      <c r="E264" s="2"/>
      <c r="F264" s="3"/>
      <c r="G264" s="3"/>
      <c r="H264" s="3"/>
      <c r="I264" s="2"/>
      <c r="J264" s="4"/>
      <c r="K264" s="3"/>
      <c r="L264" s="3"/>
      <c r="M264" s="3"/>
      <c r="N264" s="2"/>
      <c r="O264" s="2"/>
      <c r="P264" s="2"/>
      <c r="Q264" s="2"/>
      <c r="R264" s="2"/>
      <c r="S264" s="2"/>
      <c r="T264" s="2"/>
      <c r="U264" s="3"/>
      <c r="V264" s="3"/>
      <c r="W264" s="3"/>
      <c r="X264" s="2"/>
      <c r="Y264" s="2"/>
      <c r="Z264" s="3"/>
      <c r="AA264" s="3"/>
      <c r="AB264" s="3"/>
      <c r="AC264" s="2"/>
      <c r="AD264" s="2"/>
      <c r="AE264" s="3"/>
      <c r="AF264" s="3"/>
      <c r="AG264" s="3"/>
      <c r="AH264" s="2"/>
      <c r="AI264" s="2"/>
      <c r="AJ264" s="3"/>
      <c r="AK264" s="3"/>
      <c r="AL264" s="3"/>
    </row>
    <row r="265" spans="2:38" ht="15.75" customHeight="1">
      <c r="B265" s="195" t="s">
        <v>291</v>
      </c>
      <c r="C265" s="291">
        <f>'Beta '!K25</f>
        <v>0.6099919868871474</v>
      </c>
      <c r="D265" s="2"/>
      <c r="E265" s="2"/>
      <c r="F265" s="3"/>
      <c r="G265" s="3"/>
      <c r="H265" s="3"/>
      <c r="I265" s="2"/>
      <c r="J265" s="4"/>
      <c r="K265" s="3"/>
      <c r="L265" s="3"/>
      <c r="M265" s="3"/>
      <c r="N265" s="2"/>
      <c r="O265" s="2"/>
      <c r="P265" s="2"/>
      <c r="Q265" s="2"/>
      <c r="R265" s="2"/>
      <c r="S265" s="2"/>
      <c r="T265" s="2"/>
      <c r="U265" s="3"/>
      <c r="V265" s="3"/>
      <c r="W265" s="3"/>
      <c r="X265" s="2"/>
      <c r="Y265" s="2"/>
      <c r="Z265" s="3"/>
      <c r="AA265" s="3"/>
      <c r="AB265" s="3"/>
      <c r="AC265" s="2"/>
      <c r="AD265" s="2"/>
      <c r="AE265" s="3"/>
      <c r="AF265" s="3"/>
      <c r="AG265" s="3"/>
      <c r="AH265" s="2"/>
      <c r="AI265" s="2"/>
      <c r="AJ265" s="3"/>
      <c r="AK265" s="3"/>
      <c r="AL265" s="3"/>
    </row>
    <row r="266" spans="2:38" ht="15.75" customHeight="1">
      <c r="B266" s="195" t="s">
        <v>292</v>
      </c>
      <c r="C266" s="292">
        <f>'SR &amp; Volatility workings'!H49</f>
        <v>9.3870086310057041E-2</v>
      </c>
      <c r="D266" s="2"/>
      <c r="E266" s="2"/>
      <c r="F266" s="3"/>
      <c r="G266" s="3"/>
      <c r="H266" s="3"/>
      <c r="I266" s="2"/>
      <c r="J266" s="4"/>
      <c r="K266" s="3"/>
      <c r="L266" s="3"/>
      <c r="M266" s="3"/>
      <c r="N266" s="2"/>
      <c r="O266" s="2"/>
      <c r="P266" s="2"/>
      <c r="Q266" s="2"/>
      <c r="R266" s="2"/>
      <c r="S266" s="2"/>
      <c r="T266" s="2"/>
      <c r="U266" s="3"/>
      <c r="V266" s="3"/>
      <c r="W266" s="3"/>
      <c r="X266" s="2"/>
      <c r="Y266" s="2"/>
      <c r="Z266" s="3"/>
      <c r="AA266" s="3"/>
      <c r="AB266" s="3"/>
      <c r="AC266" s="2"/>
      <c r="AD266" s="2"/>
      <c r="AE266" s="3"/>
      <c r="AF266" s="3"/>
      <c r="AG266" s="3"/>
      <c r="AH266" s="2"/>
      <c r="AI266" s="2"/>
      <c r="AJ266" s="3"/>
      <c r="AK266" s="3"/>
      <c r="AL266" s="3"/>
    </row>
    <row r="267" spans="2:38" ht="15.75" customHeight="1">
      <c r="B267" s="195" t="s">
        <v>293</v>
      </c>
      <c r="C267" s="292">
        <f>'SR &amp; Volatility workings'!H50</f>
        <v>0.47226118122572375</v>
      </c>
      <c r="D267" s="2"/>
      <c r="E267" s="2"/>
      <c r="F267" s="3"/>
      <c r="G267" s="3"/>
      <c r="H267" s="3"/>
      <c r="I267" s="2"/>
      <c r="J267" s="4"/>
      <c r="K267" s="3"/>
      <c r="L267" s="3"/>
      <c r="M267" s="3"/>
      <c r="N267" s="2"/>
      <c r="O267" s="2"/>
      <c r="P267" s="2"/>
      <c r="Q267" s="2"/>
      <c r="R267" s="2"/>
      <c r="S267" s="2"/>
      <c r="T267" s="2"/>
      <c r="U267" s="3"/>
      <c r="V267" s="3"/>
      <c r="W267" s="3"/>
      <c r="X267" s="2"/>
      <c r="Y267" s="2"/>
      <c r="Z267" s="3"/>
      <c r="AA267" s="3"/>
      <c r="AB267" s="3"/>
      <c r="AC267" s="2"/>
      <c r="AD267" s="2"/>
      <c r="AE267" s="3"/>
      <c r="AF267" s="3"/>
      <c r="AG267" s="3"/>
      <c r="AH267" s="2"/>
      <c r="AI267" s="2"/>
      <c r="AJ267" s="3"/>
      <c r="AK267" s="3"/>
      <c r="AL267" s="3"/>
    </row>
    <row r="268" spans="2:38" ht="15.75" customHeight="1">
      <c r="B268" s="293" t="s">
        <v>294</v>
      </c>
      <c r="C268" s="294">
        <f>C266*C267</f>
        <v>4.433119784254818E-2</v>
      </c>
      <c r="D268" s="2"/>
      <c r="E268" s="2"/>
      <c r="F268" s="3"/>
      <c r="G268" s="3"/>
      <c r="H268" s="3"/>
      <c r="I268" s="2"/>
      <c r="J268" s="4"/>
      <c r="K268" s="3"/>
      <c r="L268" s="3"/>
      <c r="M268" s="3"/>
      <c r="N268" s="2"/>
      <c r="O268" s="2"/>
      <c r="P268" s="2"/>
      <c r="Q268" s="2"/>
      <c r="R268" s="2"/>
      <c r="S268" s="2"/>
      <c r="T268" s="2"/>
      <c r="U268" s="3"/>
      <c r="V268" s="3"/>
      <c r="W268" s="3"/>
      <c r="X268" s="2"/>
      <c r="Y268" s="2"/>
      <c r="Z268" s="3"/>
      <c r="AA268" s="3"/>
      <c r="AB268" s="3"/>
      <c r="AC268" s="2"/>
      <c r="AD268" s="2"/>
      <c r="AE268" s="3"/>
      <c r="AF268" s="3"/>
      <c r="AG268" s="3"/>
      <c r="AH268" s="2"/>
      <c r="AI268" s="2"/>
      <c r="AJ268" s="3"/>
      <c r="AK268" s="3"/>
      <c r="AL268" s="3"/>
    </row>
    <row r="269" spans="2:38" ht="15.75" customHeight="1">
      <c r="B269" s="195" t="s">
        <v>295</v>
      </c>
      <c r="C269" s="295">
        <v>0.1046</v>
      </c>
      <c r="D269" s="2"/>
      <c r="E269" s="2"/>
      <c r="F269" s="3"/>
      <c r="G269" s="3"/>
      <c r="H269" s="3"/>
      <c r="I269" s="2"/>
      <c r="J269" s="4"/>
      <c r="K269" s="3"/>
      <c r="L269" s="3"/>
      <c r="M269" s="3"/>
      <c r="N269" s="2"/>
      <c r="O269" s="2"/>
      <c r="P269" s="2"/>
      <c r="Q269" s="2"/>
      <c r="R269" s="2"/>
      <c r="S269" s="2"/>
      <c r="T269" s="2"/>
      <c r="U269" s="3"/>
      <c r="V269" s="3"/>
      <c r="W269" s="3"/>
      <c r="X269" s="2"/>
      <c r="Y269" s="2"/>
      <c r="Z269" s="3"/>
      <c r="AA269" s="3"/>
      <c r="AB269" s="3"/>
      <c r="AC269" s="2"/>
      <c r="AD269" s="2"/>
      <c r="AE269" s="3"/>
      <c r="AF269" s="3"/>
      <c r="AG269" s="3"/>
      <c r="AH269" s="2"/>
      <c r="AI269" s="2"/>
      <c r="AJ269" s="3"/>
      <c r="AK269" s="3"/>
      <c r="AL269" s="3"/>
    </row>
    <row r="270" spans="2:38" ht="15.75" customHeight="1">
      <c r="B270" s="293" t="s">
        <v>296</v>
      </c>
      <c r="C270" s="296">
        <f>C269+(C268*C265)</f>
        <v>0.13164167545306318</v>
      </c>
      <c r="D270" s="2"/>
      <c r="E270" s="3"/>
      <c r="F270" s="3"/>
      <c r="G270" s="3"/>
      <c r="H270" s="3"/>
      <c r="I270" s="2"/>
      <c r="J270" s="4"/>
      <c r="K270" s="3"/>
      <c r="L270" s="3"/>
      <c r="M270" s="3"/>
      <c r="N270" s="2"/>
      <c r="O270" s="2"/>
      <c r="P270" s="2"/>
      <c r="Q270" s="2"/>
      <c r="R270" s="2"/>
      <c r="S270" s="2"/>
      <c r="T270" s="2"/>
      <c r="U270" s="3"/>
      <c r="V270" s="3"/>
      <c r="W270" s="3"/>
      <c r="X270" s="2"/>
      <c r="Y270" s="2"/>
      <c r="Z270" s="3"/>
      <c r="AA270" s="3"/>
      <c r="AB270" s="3"/>
      <c r="AC270" s="2"/>
      <c r="AD270" s="2"/>
      <c r="AE270" s="3"/>
      <c r="AF270" s="3"/>
      <c r="AG270" s="3"/>
      <c r="AH270" s="2"/>
      <c r="AI270" s="2"/>
      <c r="AJ270" s="3"/>
      <c r="AK270" s="3"/>
      <c r="AL270" s="3"/>
    </row>
    <row r="271" spans="2:38" ht="15.75" customHeight="1">
      <c r="B271" s="195" t="s">
        <v>297</v>
      </c>
      <c r="C271" s="55">
        <f>C264/(C264+Z103+$Z110)</f>
        <v>0.99710715452889498</v>
      </c>
      <c r="D271" s="2"/>
      <c r="E271" s="3"/>
      <c r="F271" s="3"/>
      <c r="G271" s="3"/>
      <c r="H271" s="3"/>
      <c r="I271" s="2"/>
      <c r="J271" s="4"/>
      <c r="K271" s="3"/>
      <c r="L271" s="3"/>
      <c r="M271" s="3"/>
      <c r="N271" s="2"/>
      <c r="O271" s="2"/>
      <c r="P271" s="2"/>
      <c r="Q271" s="2"/>
      <c r="R271" s="2"/>
      <c r="S271" s="2"/>
      <c r="T271" s="2"/>
      <c r="U271" s="3"/>
      <c r="V271" s="3"/>
      <c r="W271" s="3"/>
      <c r="X271" s="2"/>
      <c r="Y271" s="2"/>
      <c r="Z271" s="3"/>
      <c r="AA271" s="3"/>
      <c r="AB271" s="3"/>
      <c r="AC271" s="2"/>
      <c r="AD271" s="2"/>
      <c r="AE271" s="3"/>
      <c r="AF271" s="3"/>
      <c r="AG271" s="3"/>
      <c r="AH271" s="2"/>
      <c r="AI271" s="2"/>
      <c r="AJ271" s="3"/>
      <c r="AK271" s="3"/>
      <c r="AL271" s="3"/>
    </row>
    <row r="272" spans="2:38" ht="15.75" customHeight="1">
      <c r="B272" s="195" t="s">
        <v>298</v>
      </c>
      <c r="C272" s="295">
        <f>Z63*4</f>
        <v>0</v>
      </c>
      <c r="D272" s="2"/>
      <c r="E272" s="2"/>
      <c r="F272" s="3"/>
      <c r="G272" s="3"/>
      <c r="H272" s="3"/>
      <c r="I272" s="2"/>
      <c r="J272" s="4"/>
      <c r="K272" s="3"/>
      <c r="L272" s="3"/>
      <c r="M272" s="3"/>
      <c r="N272" s="2"/>
      <c r="O272" s="2"/>
      <c r="P272" s="2"/>
      <c r="Q272" s="2"/>
      <c r="R272" s="2"/>
      <c r="S272" s="2"/>
      <c r="T272" s="2"/>
      <c r="U272" s="3"/>
      <c r="V272" s="3"/>
      <c r="W272" s="3"/>
      <c r="X272" s="2"/>
      <c r="Y272" s="2"/>
      <c r="Z272" s="3"/>
      <c r="AA272" s="3"/>
      <c r="AB272" s="3"/>
      <c r="AC272" s="2"/>
      <c r="AD272" s="2"/>
      <c r="AE272" s="3"/>
      <c r="AF272" s="3"/>
      <c r="AG272" s="3"/>
      <c r="AH272" s="2"/>
      <c r="AI272" s="2"/>
      <c r="AJ272" s="3"/>
      <c r="AK272" s="3"/>
      <c r="AL272" s="3"/>
    </row>
    <row r="273" spans="2:38" ht="15.75" customHeight="1">
      <c r="B273" s="195" t="s">
        <v>299</v>
      </c>
      <c r="C273" s="295">
        <v>0.22500000000000001</v>
      </c>
      <c r="D273" s="2"/>
      <c r="E273" s="2"/>
      <c r="F273" s="3"/>
      <c r="G273" s="3"/>
      <c r="H273" s="3"/>
      <c r="I273" s="2"/>
      <c r="J273" s="4"/>
      <c r="K273" s="3"/>
      <c r="L273" s="3"/>
      <c r="M273" s="3"/>
      <c r="N273" s="2"/>
      <c r="O273" s="2"/>
      <c r="P273" s="2"/>
      <c r="Q273" s="2"/>
      <c r="R273" s="2"/>
      <c r="S273" s="2"/>
      <c r="T273" s="2"/>
      <c r="U273" s="3"/>
      <c r="V273" s="3"/>
      <c r="W273" s="3"/>
      <c r="X273" s="2"/>
      <c r="Y273" s="2"/>
      <c r="Z273" s="3"/>
      <c r="AA273" s="3"/>
      <c r="AB273" s="3"/>
      <c r="AC273" s="2"/>
      <c r="AD273" s="2"/>
      <c r="AE273" s="3"/>
      <c r="AF273" s="3"/>
      <c r="AG273" s="3"/>
      <c r="AH273" s="2"/>
      <c r="AI273" s="2"/>
      <c r="AJ273" s="3"/>
      <c r="AK273" s="3"/>
      <c r="AL273" s="3"/>
    </row>
    <row r="274" spans="2:38" ht="15.75" customHeight="1">
      <c r="B274" s="195" t="s">
        <v>300</v>
      </c>
      <c r="C274" s="295">
        <f>C272*C273</f>
        <v>0</v>
      </c>
      <c r="D274" s="2"/>
      <c r="E274" s="2"/>
      <c r="F274" s="2"/>
      <c r="G274" s="3"/>
      <c r="H274" s="3"/>
      <c r="I274" s="2"/>
      <c r="J274" s="4"/>
      <c r="K274" s="3"/>
      <c r="L274" s="3"/>
      <c r="M274" s="3"/>
      <c r="N274" s="2"/>
      <c r="O274" s="2"/>
      <c r="P274" s="2"/>
      <c r="Q274" s="2"/>
      <c r="R274" s="2"/>
      <c r="S274" s="2"/>
      <c r="T274" s="2"/>
      <c r="U274" s="3"/>
      <c r="V274" s="3"/>
      <c r="W274" s="3"/>
      <c r="X274" s="2"/>
      <c r="Y274" s="2"/>
      <c r="Z274" s="3"/>
      <c r="AA274" s="3"/>
      <c r="AB274" s="3"/>
      <c r="AC274" s="2"/>
      <c r="AD274" s="2"/>
      <c r="AE274" s="3"/>
      <c r="AF274" s="3"/>
      <c r="AG274" s="3"/>
      <c r="AH274" s="2"/>
      <c r="AI274" s="2"/>
      <c r="AJ274" s="3"/>
      <c r="AK274" s="3"/>
      <c r="AL274" s="3"/>
    </row>
    <row r="275" spans="2:38" ht="15.75" customHeight="1">
      <c r="B275" s="293" t="s">
        <v>301</v>
      </c>
      <c r="C275" s="296">
        <f>(C270*C271)+((1-C271)*C274)</f>
        <v>0.13126085642842011</v>
      </c>
      <c r="D275" s="2"/>
      <c r="E275" s="2"/>
      <c r="F275" s="3"/>
      <c r="G275" s="3"/>
      <c r="H275" s="3"/>
      <c r="I275" s="2"/>
      <c r="J275" s="4"/>
      <c r="K275" s="3"/>
      <c r="L275" s="3"/>
      <c r="M275" s="3"/>
      <c r="N275" s="2"/>
      <c r="O275" s="2"/>
      <c r="P275" s="2"/>
      <c r="Q275" s="2"/>
      <c r="R275" s="2"/>
      <c r="S275" s="2"/>
      <c r="T275" s="2"/>
      <c r="U275" s="3"/>
      <c r="V275" s="3"/>
      <c r="W275" s="3"/>
      <c r="X275" s="2"/>
      <c r="Y275" s="2"/>
      <c r="Z275" s="3"/>
      <c r="AA275" s="3"/>
      <c r="AB275" s="3"/>
      <c r="AC275" s="2"/>
      <c r="AD275" s="2"/>
      <c r="AE275" s="3"/>
      <c r="AF275" s="3"/>
      <c r="AG275" s="3"/>
      <c r="AH275" s="2"/>
      <c r="AI275" s="2"/>
      <c r="AJ275" s="3"/>
      <c r="AK275" s="3"/>
      <c r="AL275" s="3"/>
    </row>
    <row r="276" spans="2:38" ht="15.75" customHeight="1">
      <c r="B276" s="193" t="s">
        <v>302</v>
      </c>
      <c r="C276" s="281"/>
      <c r="D276" s="2"/>
      <c r="E276" s="2"/>
      <c r="F276" s="3"/>
      <c r="G276" s="3"/>
      <c r="H276" s="3"/>
      <c r="I276" s="2"/>
      <c r="J276" s="4"/>
      <c r="K276" s="3"/>
      <c r="L276" s="3"/>
      <c r="M276" s="3"/>
      <c r="N276" s="2"/>
      <c r="O276" s="2"/>
      <c r="P276" s="2"/>
      <c r="Q276" s="2"/>
      <c r="R276" s="2"/>
      <c r="S276" s="2"/>
      <c r="T276" s="2"/>
      <c r="U276" s="3"/>
      <c r="V276" s="3"/>
      <c r="W276" s="3"/>
      <c r="X276" s="2"/>
      <c r="Y276" s="2"/>
      <c r="Z276" s="3"/>
      <c r="AA276" s="3"/>
      <c r="AB276" s="3"/>
      <c r="AC276" s="2"/>
      <c r="AD276" s="2"/>
      <c r="AE276" s="3"/>
      <c r="AF276" s="3"/>
      <c r="AG276" s="3"/>
      <c r="AH276" s="2"/>
      <c r="AI276" s="2"/>
      <c r="AJ276" s="3"/>
      <c r="AK276" s="3"/>
      <c r="AL276" s="3"/>
    </row>
    <row r="277" spans="2:38" ht="15.75" customHeight="1">
      <c r="B277" s="195" t="s">
        <v>303</v>
      </c>
      <c r="C277" s="295">
        <v>0.02</v>
      </c>
      <c r="D277" s="2"/>
      <c r="E277" s="2"/>
      <c r="F277" s="3"/>
      <c r="G277" s="3"/>
      <c r="H277" s="3"/>
      <c r="I277" s="2"/>
      <c r="J277" s="4"/>
      <c r="K277" s="3"/>
      <c r="L277" s="3"/>
      <c r="M277" s="3"/>
      <c r="N277" s="2"/>
      <c r="O277" s="2"/>
      <c r="P277" s="2"/>
      <c r="Q277" s="2"/>
      <c r="R277" s="2"/>
      <c r="S277" s="2"/>
      <c r="T277" s="2"/>
      <c r="U277" s="3"/>
      <c r="V277" s="3"/>
      <c r="W277" s="3"/>
      <c r="X277" s="2"/>
      <c r="Y277" s="2"/>
      <c r="Z277" s="3"/>
      <c r="AA277" s="3"/>
      <c r="AB277" s="3"/>
      <c r="AC277" s="2"/>
      <c r="AD277" s="2"/>
      <c r="AE277" s="3"/>
      <c r="AF277" s="3"/>
      <c r="AG277" s="3"/>
      <c r="AH277" s="2"/>
      <c r="AI277" s="2"/>
      <c r="AJ277" s="3"/>
      <c r="AK277" s="3"/>
      <c r="AL277" s="3"/>
    </row>
    <row r="278" spans="2:38" ht="15.75" customHeight="1">
      <c r="B278" s="195" t="s">
        <v>304</v>
      </c>
      <c r="C278" s="295">
        <v>0.02</v>
      </c>
      <c r="D278" s="2"/>
      <c r="E278" s="2"/>
      <c r="F278" s="3"/>
      <c r="G278" s="3"/>
      <c r="H278" s="3"/>
      <c r="I278" s="2"/>
      <c r="J278" s="4"/>
      <c r="K278" s="3"/>
      <c r="L278" s="3"/>
      <c r="M278" s="3"/>
      <c r="N278" s="2"/>
      <c r="O278" s="2"/>
      <c r="P278" s="2"/>
      <c r="Q278" s="2"/>
      <c r="R278" s="2"/>
      <c r="S278" s="2"/>
      <c r="T278" s="2"/>
      <c r="U278" s="3"/>
      <c r="V278" s="3"/>
      <c r="W278" s="3"/>
      <c r="X278" s="2"/>
      <c r="Y278" s="2"/>
      <c r="Z278" s="3"/>
      <c r="AA278" s="3"/>
      <c r="AB278" s="3"/>
      <c r="AC278" s="2"/>
      <c r="AD278" s="2"/>
      <c r="AE278" s="3"/>
      <c r="AF278" s="3"/>
      <c r="AG278" s="3"/>
      <c r="AH278" s="2"/>
      <c r="AI278" s="2"/>
      <c r="AJ278" s="3"/>
      <c r="AK278" s="3"/>
      <c r="AL278" s="3"/>
    </row>
    <row r="279" spans="2:38" ht="15.75" customHeight="1">
      <c r="B279" s="195" t="s">
        <v>305</v>
      </c>
      <c r="C279" s="295">
        <f>AVERAGE(H238,M238,R238,W238,AB238,AG238,AL238,AQ238)</f>
        <v>-7.2658777853374434E-2</v>
      </c>
      <c r="D279" s="2"/>
      <c r="E279" s="2"/>
      <c r="F279" s="3"/>
      <c r="G279" s="3"/>
      <c r="H279" s="3"/>
      <c r="I279" s="2"/>
      <c r="J279" s="4"/>
      <c r="K279" s="3"/>
      <c r="L279" s="3"/>
      <c r="M279" s="3"/>
      <c r="N279" s="2"/>
      <c r="O279" s="2"/>
      <c r="P279" s="2"/>
      <c r="Q279" s="2"/>
      <c r="R279" s="2"/>
      <c r="S279" s="2"/>
      <c r="T279" s="2"/>
      <c r="U279" s="3"/>
      <c r="V279" s="3"/>
      <c r="W279" s="3"/>
      <c r="X279" s="2"/>
      <c r="Y279" s="2"/>
      <c r="Z279" s="3"/>
      <c r="AA279" s="3"/>
      <c r="AB279" s="3"/>
      <c r="AC279" s="2"/>
      <c r="AD279" s="2"/>
      <c r="AE279" s="3"/>
      <c r="AF279" s="3"/>
      <c r="AG279" s="3"/>
      <c r="AH279" s="2"/>
      <c r="AI279" s="2"/>
      <c r="AJ279" s="3"/>
      <c r="AK279" s="3"/>
      <c r="AL279" s="3"/>
    </row>
    <row r="280" spans="2:38" ht="15.75" customHeight="1">
      <c r="B280" s="297" t="s">
        <v>306</v>
      </c>
      <c r="C280" s="298">
        <f>C271*(C269+(C265*(C266*C267)))+(1-C271)</f>
        <v>0.13415370189952514</v>
      </c>
      <c r="D280" s="2"/>
      <c r="E280" s="2"/>
      <c r="F280" s="3"/>
      <c r="G280" s="3"/>
      <c r="H280" s="3"/>
      <c r="I280" s="2"/>
      <c r="J280" s="4"/>
      <c r="K280" s="3"/>
      <c r="L280" s="3"/>
      <c r="M280" s="3"/>
      <c r="N280" s="2"/>
      <c r="O280" s="2"/>
      <c r="P280" s="2"/>
      <c r="Q280" s="2"/>
      <c r="R280" s="2"/>
      <c r="S280" s="2"/>
      <c r="T280" s="2"/>
      <c r="U280" s="3"/>
      <c r="V280" s="3"/>
      <c r="W280" s="3"/>
      <c r="X280" s="2"/>
      <c r="Y280" s="2"/>
      <c r="Z280" s="3"/>
      <c r="AA280" s="3"/>
      <c r="AB280" s="3"/>
      <c r="AC280" s="2"/>
      <c r="AD280" s="2"/>
      <c r="AE280" s="3"/>
      <c r="AF280" s="3"/>
      <c r="AG280" s="3"/>
      <c r="AH280" s="2"/>
      <c r="AI280" s="2"/>
      <c r="AJ280" s="3"/>
      <c r="AK280" s="3"/>
      <c r="AL280" s="3"/>
    </row>
    <row r="281" spans="2:38" ht="15.75" customHeight="1">
      <c r="B281" s="193" t="s">
        <v>307</v>
      </c>
      <c r="C281" s="281"/>
      <c r="D281" s="2"/>
      <c r="E281" s="2"/>
      <c r="F281" s="3"/>
      <c r="G281" s="3"/>
      <c r="H281" s="3"/>
      <c r="I281" s="2"/>
      <c r="J281" s="4"/>
      <c r="K281" s="3"/>
      <c r="L281" s="3"/>
      <c r="M281" s="3"/>
      <c r="N281" s="2"/>
      <c r="O281" s="2"/>
      <c r="P281" s="2"/>
      <c r="Q281" s="2"/>
      <c r="R281" s="2"/>
      <c r="S281" s="2"/>
      <c r="T281" s="2"/>
      <c r="U281" s="3"/>
      <c r="V281" s="3"/>
      <c r="W281" s="3"/>
      <c r="X281" s="2"/>
      <c r="Y281" s="2"/>
      <c r="Z281" s="3"/>
      <c r="AA281" s="3"/>
      <c r="AB281" s="3"/>
      <c r="AC281" s="2"/>
      <c r="AD281" s="2"/>
      <c r="AE281" s="3"/>
      <c r="AF281" s="3"/>
      <c r="AG281" s="3"/>
      <c r="AH281" s="2"/>
      <c r="AI281" s="2"/>
      <c r="AJ281" s="3"/>
      <c r="AK281" s="3"/>
      <c r="AL281" s="3"/>
    </row>
    <row r="282" spans="2:38" ht="15.75" customHeight="1">
      <c r="B282" s="195" t="s">
        <v>308</v>
      </c>
      <c r="C282" s="536">
        <f>((((AQ189*(1+C278))-(C279*AQ17*(1+C277))+(C274)))/(C280-C277))/(1+$C$280)^3.25</f>
        <v>161741.41205619118</v>
      </c>
      <c r="D282" s="2"/>
      <c r="E282" s="2"/>
      <c r="F282" s="3"/>
      <c r="G282" s="3"/>
      <c r="H282" s="3"/>
      <c r="I282" s="2"/>
      <c r="J282" s="4"/>
      <c r="K282" s="3"/>
      <c r="L282" s="3"/>
      <c r="M282" s="3"/>
      <c r="N282" s="2"/>
      <c r="O282" s="2"/>
      <c r="P282" s="2"/>
      <c r="Q282" s="2"/>
      <c r="R282" s="2"/>
      <c r="S282" s="2"/>
      <c r="T282" s="2"/>
      <c r="U282" s="3"/>
      <c r="V282" s="3"/>
      <c r="W282" s="3"/>
      <c r="X282" s="2"/>
      <c r="Y282" s="2"/>
      <c r="Z282" s="3"/>
      <c r="AA282" s="3"/>
      <c r="AB282" s="3"/>
      <c r="AC282" s="2"/>
      <c r="AD282" s="2"/>
      <c r="AE282" s="3"/>
      <c r="AF282" s="3"/>
      <c r="AG282" s="3"/>
      <c r="AH282" s="2"/>
      <c r="AI282" s="2"/>
      <c r="AJ282" s="3"/>
      <c r="AK282" s="3"/>
      <c r="AL282" s="3"/>
    </row>
    <row r="283" spans="2:38" ht="15.75" customHeight="1">
      <c r="B283" s="195" t="s">
        <v>309</v>
      </c>
      <c r="C283" s="299">
        <f>AB222+AG222+AL222+AQ222</f>
        <v>64907.803075617048</v>
      </c>
      <c r="D283" s="2"/>
      <c r="E283" s="2"/>
      <c r="F283" s="3"/>
      <c r="G283" s="3"/>
      <c r="H283" s="3"/>
      <c r="I283" s="2"/>
      <c r="J283" s="4"/>
      <c r="K283" s="3"/>
      <c r="L283" s="3"/>
      <c r="M283" s="3"/>
      <c r="N283" s="2"/>
      <c r="O283" s="2"/>
      <c r="P283" s="2"/>
      <c r="Q283" s="2"/>
      <c r="R283" s="2"/>
      <c r="S283" s="2"/>
      <c r="T283" s="2"/>
      <c r="U283" s="3"/>
      <c r="V283" s="3"/>
      <c r="W283" s="3"/>
      <c r="X283" s="2"/>
      <c r="Y283" s="2"/>
      <c r="Z283" s="3"/>
      <c r="AA283" s="3"/>
      <c r="AB283" s="3"/>
      <c r="AC283" s="2"/>
      <c r="AD283" s="2"/>
      <c r="AE283" s="3"/>
      <c r="AF283" s="3"/>
      <c r="AG283" s="3"/>
      <c r="AH283" s="2"/>
      <c r="AI283" s="2"/>
      <c r="AJ283" s="3"/>
      <c r="AK283" s="3"/>
      <c r="AL283" s="3"/>
    </row>
    <row r="284" spans="2:38" ht="15.75" customHeight="1">
      <c r="B284" s="195" t="s">
        <v>310</v>
      </c>
      <c r="C284" s="300">
        <f>C253</f>
        <v>67.33819317099092</v>
      </c>
      <c r="D284" s="2"/>
      <c r="E284" s="2"/>
      <c r="F284" s="3"/>
      <c r="G284" s="3"/>
      <c r="H284" s="3"/>
      <c r="I284" s="2"/>
      <c r="J284" s="4"/>
      <c r="K284" s="3"/>
      <c r="L284" s="3"/>
      <c r="M284" s="3"/>
      <c r="N284" s="2"/>
      <c r="O284" s="2"/>
      <c r="P284" s="2"/>
      <c r="Q284" s="2"/>
      <c r="R284" s="2"/>
      <c r="S284" s="2"/>
      <c r="T284" s="2"/>
      <c r="U284" s="3"/>
      <c r="V284" s="3"/>
      <c r="W284" s="3"/>
      <c r="X284" s="2"/>
      <c r="Y284" s="2"/>
      <c r="Z284" s="3"/>
      <c r="AA284" s="3"/>
      <c r="AB284" s="3"/>
      <c r="AC284" s="2"/>
      <c r="AD284" s="2"/>
      <c r="AE284" s="3"/>
      <c r="AF284" s="3"/>
      <c r="AG284" s="3"/>
      <c r="AH284" s="2"/>
      <c r="AI284" s="2"/>
      <c r="AJ284" s="3"/>
      <c r="AK284" s="3"/>
      <c r="AL284" s="3"/>
    </row>
    <row r="285" spans="2:38" ht="15.75" customHeight="1">
      <c r="B285" s="289" t="s">
        <v>6</v>
      </c>
      <c r="C285" s="534">
        <f>(C282+C283)/C263+C284</f>
        <v>323.0197960740191</v>
      </c>
      <c r="D285" s="2"/>
      <c r="E285" s="2"/>
      <c r="F285" s="3"/>
      <c r="G285" s="3"/>
      <c r="H285" s="3"/>
      <c r="I285" s="2"/>
      <c r="J285" s="4"/>
      <c r="K285" s="3"/>
      <c r="L285" s="3"/>
      <c r="M285" s="3"/>
      <c r="N285" s="2"/>
      <c r="O285" s="2"/>
      <c r="P285" s="2"/>
      <c r="Q285" s="2"/>
      <c r="R285" s="2"/>
      <c r="S285" s="2"/>
      <c r="T285" s="2"/>
      <c r="U285" s="3"/>
      <c r="V285" s="3"/>
      <c r="W285" s="3"/>
      <c r="X285" s="2"/>
      <c r="Y285" s="2"/>
      <c r="Z285" s="3"/>
      <c r="AA285" s="3"/>
      <c r="AB285" s="3"/>
      <c r="AC285" s="2"/>
      <c r="AD285" s="2"/>
      <c r="AE285" s="3"/>
      <c r="AF285" s="3"/>
      <c r="AG285" s="3"/>
      <c r="AH285" s="2"/>
      <c r="AI285" s="2"/>
      <c r="AJ285" s="3"/>
      <c r="AK285" s="3"/>
      <c r="AL285" s="3"/>
    </row>
    <row r="286" spans="2:38" ht="15.75" customHeight="1">
      <c r="B286" s="763" t="s">
        <v>311</v>
      </c>
      <c r="C286" s="736"/>
      <c r="D286" s="2"/>
      <c r="E286" s="2"/>
      <c r="F286" s="3"/>
      <c r="G286" s="3"/>
      <c r="H286" s="3"/>
      <c r="I286" s="2"/>
      <c r="J286" s="4"/>
      <c r="K286" s="3"/>
      <c r="L286" s="3"/>
      <c r="M286" s="3"/>
      <c r="N286" s="2"/>
      <c r="O286" s="2"/>
      <c r="P286" s="2"/>
      <c r="Q286" s="2"/>
      <c r="R286" s="2"/>
      <c r="S286" s="2"/>
      <c r="T286" s="2"/>
      <c r="U286" s="3"/>
      <c r="V286" s="3"/>
      <c r="W286" s="3"/>
      <c r="X286" s="2"/>
      <c r="Y286" s="2"/>
      <c r="Z286" s="3"/>
      <c r="AA286" s="3"/>
      <c r="AB286" s="3"/>
      <c r="AC286" s="2"/>
      <c r="AD286" s="2"/>
      <c r="AE286" s="3"/>
      <c r="AF286" s="3"/>
      <c r="AG286" s="3"/>
      <c r="AH286" s="2"/>
      <c r="AI286" s="2"/>
      <c r="AJ286" s="3"/>
      <c r="AK286" s="3"/>
      <c r="AL286" s="3"/>
    </row>
    <row r="287" spans="2:38" ht="15.75" customHeight="1">
      <c r="B287" s="752" t="s">
        <v>312</v>
      </c>
      <c r="C287" s="736"/>
      <c r="D287" s="2"/>
      <c r="E287" s="2"/>
      <c r="F287" s="3"/>
      <c r="G287" s="3"/>
      <c r="H287" s="3"/>
      <c r="I287" s="2"/>
      <c r="J287" s="4"/>
      <c r="K287" s="3"/>
      <c r="L287" s="3"/>
      <c r="M287" s="3"/>
      <c r="N287" s="2"/>
      <c r="O287" s="2"/>
      <c r="P287" s="2"/>
      <c r="Q287" s="2"/>
      <c r="R287" s="2"/>
      <c r="S287" s="2"/>
      <c r="T287" s="2"/>
      <c r="U287" s="3"/>
      <c r="V287" s="3"/>
      <c r="W287" s="3"/>
      <c r="X287" s="2"/>
      <c r="Y287" s="2"/>
      <c r="Z287" s="3"/>
      <c r="AA287" s="3"/>
      <c r="AB287" s="3"/>
      <c r="AC287" s="2"/>
      <c r="AD287" s="2"/>
      <c r="AE287" s="3"/>
      <c r="AF287" s="3"/>
      <c r="AG287" s="3"/>
      <c r="AH287" s="2"/>
      <c r="AI287" s="2"/>
      <c r="AJ287" s="3"/>
      <c r="AK287" s="3"/>
      <c r="AL287" s="3"/>
    </row>
    <row r="288" spans="2:38" ht="15.75" customHeight="1">
      <c r="B288" s="752" t="s">
        <v>313</v>
      </c>
      <c r="C288" s="736"/>
      <c r="D288" s="2"/>
      <c r="E288" s="2"/>
      <c r="F288" s="3"/>
      <c r="G288" s="3"/>
      <c r="H288" s="3"/>
      <c r="I288" s="2"/>
      <c r="J288" s="4"/>
      <c r="K288" s="3"/>
      <c r="L288" s="3"/>
      <c r="M288" s="3"/>
      <c r="N288" s="2"/>
      <c r="O288" s="2"/>
      <c r="P288" s="2"/>
      <c r="Q288" s="2"/>
      <c r="R288" s="2"/>
      <c r="S288" s="2"/>
      <c r="T288" s="2"/>
      <c r="U288" s="3"/>
      <c r="V288" s="3"/>
      <c r="W288" s="3"/>
      <c r="X288" s="2"/>
      <c r="Y288" s="2"/>
      <c r="Z288" s="3"/>
      <c r="AA288" s="3"/>
      <c r="AB288" s="3"/>
      <c r="AC288" s="2"/>
      <c r="AD288" s="2"/>
      <c r="AE288" s="3"/>
      <c r="AF288" s="3"/>
      <c r="AG288" s="3"/>
      <c r="AH288" s="2"/>
      <c r="AI288" s="2"/>
      <c r="AJ288" s="3"/>
      <c r="AK288" s="3"/>
      <c r="AL288" s="3"/>
    </row>
    <row r="289" spans="2:38" ht="15.75" customHeight="1">
      <c r="B289" s="752" t="s">
        <v>314</v>
      </c>
      <c r="C289" s="736"/>
      <c r="D289" s="2"/>
      <c r="E289" s="2"/>
      <c r="F289" s="3"/>
      <c r="G289" s="3"/>
      <c r="H289" s="3"/>
      <c r="I289" s="2"/>
      <c r="J289" s="4"/>
      <c r="K289" s="3"/>
      <c r="L289" s="3"/>
      <c r="M289" s="3"/>
      <c r="N289" s="2"/>
      <c r="O289" s="2"/>
      <c r="P289" s="2"/>
      <c r="Q289" s="2"/>
      <c r="R289" s="2"/>
      <c r="S289" s="2"/>
      <c r="T289" s="2"/>
      <c r="U289" s="3"/>
      <c r="V289" s="3"/>
      <c r="W289" s="3"/>
      <c r="X289" s="2"/>
      <c r="Y289" s="2"/>
      <c r="Z289" s="3"/>
      <c r="AA289" s="3"/>
      <c r="AB289" s="3"/>
      <c r="AC289" s="2"/>
      <c r="AD289" s="2"/>
      <c r="AE289" s="3"/>
      <c r="AF289" s="3"/>
      <c r="AG289" s="3"/>
      <c r="AH289" s="2"/>
      <c r="AI289" s="2"/>
      <c r="AJ289" s="3"/>
      <c r="AK289" s="3"/>
      <c r="AL289" s="3"/>
    </row>
    <row r="290" spans="2:38" ht="15.75" customHeight="1">
      <c r="B290" s="753" t="s">
        <v>315</v>
      </c>
      <c r="C290" s="754"/>
      <c r="D290" s="2"/>
      <c r="E290" s="2"/>
      <c r="F290" s="3"/>
      <c r="G290" s="3"/>
      <c r="H290" s="3"/>
      <c r="I290" s="2"/>
      <c r="J290" s="4"/>
      <c r="K290" s="3"/>
      <c r="L290" s="3"/>
      <c r="M290" s="3"/>
      <c r="N290" s="2"/>
      <c r="O290" s="2"/>
      <c r="P290" s="2"/>
      <c r="Q290" s="2"/>
      <c r="R290" s="2"/>
      <c r="S290" s="2"/>
      <c r="T290" s="2"/>
      <c r="U290" s="3"/>
      <c r="V290" s="3"/>
      <c r="W290" s="3"/>
      <c r="X290" s="2"/>
      <c r="Y290" s="2"/>
      <c r="Z290" s="3"/>
      <c r="AA290" s="3"/>
      <c r="AB290" s="3"/>
      <c r="AC290" s="2"/>
      <c r="AD290" s="2"/>
      <c r="AE290" s="3"/>
      <c r="AF290" s="3"/>
      <c r="AG290" s="3"/>
      <c r="AH290" s="2"/>
      <c r="AI290" s="2"/>
      <c r="AJ290" s="3"/>
      <c r="AK290" s="3"/>
      <c r="AL290" s="3"/>
    </row>
    <row r="291" spans="2:38" ht="15.75" customHeight="1">
      <c r="B291" s="284"/>
      <c r="C291" s="301"/>
      <c r="D291" s="2"/>
      <c r="E291" s="2"/>
      <c r="F291" s="3"/>
      <c r="G291" s="3"/>
      <c r="H291" s="3"/>
      <c r="I291" s="2"/>
      <c r="J291" s="4"/>
      <c r="K291" s="3"/>
      <c r="L291" s="3"/>
      <c r="M291" s="3"/>
      <c r="N291" s="2"/>
      <c r="O291" s="2"/>
      <c r="P291" s="2"/>
      <c r="Q291" s="2"/>
      <c r="R291" s="2"/>
      <c r="S291" s="2"/>
      <c r="T291" s="2"/>
      <c r="U291" s="3"/>
      <c r="V291" s="3"/>
      <c r="W291" s="3"/>
      <c r="X291" s="2"/>
      <c r="Y291" s="2"/>
      <c r="Z291" s="3"/>
      <c r="AA291" s="3"/>
      <c r="AB291" s="3"/>
      <c r="AC291" s="2"/>
      <c r="AD291" s="2"/>
      <c r="AE291" s="3"/>
      <c r="AF291" s="3"/>
      <c r="AG291" s="3"/>
      <c r="AH291" s="2"/>
      <c r="AI291" s="2"/>
      <c r="AJ291" s="3"/>
      <c r="AK291" s="3"/>
      <c r="AL291" s="3"/>
    </row>
    <row r="292" spans="2:38" ht="15.75" customHeight="1">
      <c r="B292" s="755" t="s">
        <v>316</v>
      </c>
      <c r="C292" s="756"/>
      <c r="D292" s="2"/>
      <c r="E292" s="2"/>
      <c r="F292" s="3"/>
      <c r="G292" s="3"/>
      <c r="H292" s="3"/>
      <c r="I292" s="2"/>
      <c r="J292" s="4"/>
      <c r="K292" s="3"/>
      <c r="L292" s="3"/>
      <c r="M292" s="3"/>
      <c r="N292" s="2"/>
      <c r="O292" s="2"/>
      <c r="P292" s="2"/>
      <c r="Q292" s="2"/>
      <c r="R292" s="2"/>
      <c r="S292" s="2"/>
      <c r="T292" s="2"/>
      <c r="U292" s="3"/>
      <c r="V292" s="3"/>
      <c r="W292" s="3"/>
      <c r="X292" s="2"/>
      <c r="Y292" s="2"/>
      <c r="Z292" s="3"/>
      <c r="AA292" s="3"/>
      <c r="AB292" s="3"/>
      <c r="AC292" s="2"/>
      <c r="AD292" s="2"/>
      <c r="AE292" s="3"/>
      <c r="AF292" s="3"/>
      <c r="AG292" s="3"/>
      <c r="AH292" s="2"/>
      <c r="AI292" s="2"/>
      <c r="AJ292" s="3"/>
      <c r="AK292" s="3"/>
      <c r="AL292" s="3"/>
    </row>
    <row r="293" spans="2:38" ht="15.75" customHeight="1">
      <c r="B293" s="302" t="s">
        <v>317</v>
      </c>
      <c r="C293" s="303">
        <f>AVERAGE('Beta '!F6:F49)</f>
        <v>2.2473407525335572E-3</v>
      </c>
      <c r="D293" s="2"/>
      <c r="E293" s="2"/>
      <c r="F293" s="3"/>
      <c r="G293" s="3"/>
      <c r="H293" s="3"/>
      <c r="I293" s="2"/>
      <c r="J293" s="4"/>
      <c r="K293" s="3"/>
      <c r="L293" s="3"/>
      <c r="M293" s="3"/>
      <c r="N293" s="2"/>
      <c r="O293" s="2"/>
      <c r="P293" s="2"/>
      <c r="Q293" s="2"/>
      <c r="R293" s="2"/>
      <c r="S293" s="2"/>
      <c r="T293" s="2"/>
      <c r="U293" s="3"/>
      <c r="V293" s="3"/>
      <c r="W293" s="3"/>
      <c r="X293" s="2"/>
      <c r="Y293" s="2"/>
      <c r="Z293" s="3"/>
      <c r="AA293" s="3"/>
      <c r="AB293" s="3"/>
      <c r="AC293" s="2"/>
      <c r="AD293" s="2"/>
      <c r="AE293" s="3"/>
      <c r="AF293" s="3"/>
      <c r="AG293" s="3"/>
      <c r="AH293" s="2"/>
      <c r="AI293" s="2"/>
      <c r="AJ293" s="3"/>
      <c r="AK293" s="3"/>
      <c r="AL293" s="3"/>
    </row>
    <row r="294" spans="2:38" ht="15.75" customHeight="1">
      <c r="B294" s="195" t="s">
        <v>318</v>
      </c>
      <c r="C294" s="295">
        <f>STDEV('Beta '!F6:F49)</f>
        <v>2.9749658080782636E-2</v>
      </c>
      <c r="D294" s="2"/>
      <c r="E294" s="2"/>
      <c r="F294" s="3"/>
      <c r="G294" s="3"/>
      <c r="H294" s="3"/>
      <c r="I294" s="2"/>
      <c r="J294" s="4"/>
      <c r="K294" s="3"/>
      <c r="L294" s="3"/>
      <c r="M294" s="3"/>
      <c r="N294" s="2"/>
      <c r="O294" s="2"/>
      <c r="P294" s="2"/>
      <c r="Q294" s="2"/>
      <c r="R294" s="2"/>
      <c r="S294" s="2"/>
      <c r="T294" s="2"/>
      <c r="U294" s="3"/>
      <c r="V294" s="3"/>
      <c r="W294" s="3"/>
      <c r="X294" s="2"/>
      <c r="Y294" s="2"/>
      <c r="Z294" s="3"/>
      <c r="AA294" s="3"/>
      <c r="AB294" s="3"/>
      <c r="AC294" s="2"/>
      <c r="AD294" s="2"/>
      <c r="AE294" s="3"/>
      <c r="AF294" s="3"/>
      <c r="AG294" s="3"/>
      <c r="AH294" s="2"/>
      <c r="AI294" s="2"/>
      <c r="AJ294" s="3"/>
      <c r="AK294" s="3"/>
      <c r="AL294" s="3"/>
    </row>
    <row r="295" spans="2:38" ht="15.75" customHeight="1">
      <c r="B295" s="195" t="s">
        <v>319</v>
      </c>
      <c r="C295" s="292">
        <f>C9</f>
        <v>263.5142040659797</v>
      </c>
      <c r="D295" s="2"/>
      <c r="E295" s="2"/>
      <c r="F295" s="3"/>
      <c r="G295" s="3"/>
      <c r="H295" s="3"/>
      <c r="I295" s="2"/>
      <c r="J295" s="4"/>
      <c r="K295" s="3"/>
      <c r="L295" s="3"/>
      <c r="M295" s="3"/>
      <c r="N295" s="2"/>
      <c r="O295" s="2"/>
      <c r="P295" s="2"/>
      <c r="Q295" s="2"/>
      <c r="R295" s="2"/>
      <c r="S295" s="2"/>
      <c r="T295" s="2"/>
      <c r="U295" s="3"/>
      <c r="V295" s="3"/>
      <c r="W295" s="3"/>
      <c r="X295" s="2"/>
      <c r="Y295" s="2"/>
      <c r="Z295" s="3"/>
      <c r="AA295" s="3"/>
      <c r="AB295" s="3"/>
      <c r="AC295" s="2"/>
      <c r="AD295" s="2"/>
      <c r="AE295" s="3"/>
      <c r="AF295" s="3"/>
      <c r="AG295" s="3"/>
      <c r="AH295" s="2"/>
      <c r="AI295" s="2"/>
      <c r="AJ295" s="3"/>
      <c r="AK295" s="3"/>
      <c r="AL295" s="3"/>
    </row>
    <row r="296" spans="2:38" ht="15.75" customHeight="1">
      <c r="B296" s="195" t="s">
        <v>320</v>
      </c>
      <c r="C296" s="292">
        <f>C295*(1+C293+(2*C294))</f>
        <v>279.78532521643359</v>
      </c>
      <c r="D296" s="2"/>
      <c r="E296" s="2"/>
      <c r="F296" s="3"/>
      <c r="G296" s="3"/>
      <c r="H296" s="3"/>
      <c r="I296" s="2"/>
      <c r="J296" s="4"/>
      <c r="K296" s="3"/>
      <c r="L296" s="3"/>
      <c r="M296" s="3"/>
      <c r="N296" s="2"/>
      <c r="O296" s="2"/>
      <c r="P296" s="2"/>
      <c r="Q296" s="2"/>
      <c r="R296" s="2"/>
      <c r="S296" s="2"/>
      <c r="T296" s="2"/>
      <c r="U296" s="3"/>
      <c r="V296" s="3"/>
      <c r="W296" s="3"/>
      <c r="X296" s="2"/>
      <c r="Y296" s="2"/>
      <c r="Z296" s="3"/>
      <c r="AA296" s="3"/>
      <c r="AB296" s="3"/>
      <c r="AC296" s="2"/>
      <c r="AD296" s="2"/>
      <c r="AE296" s="3"/>
      <c r="AF296" s="3"/>
      <c r="AG296" s="3"/>
      <c r="AH296" s="2"/>
      <c r="AI296" s="2"/>
      <c r="AJ296" s="3"/>
      <c r="AK296" s="3"/>
      <c r="AL296" s="3"/>
    </row>
    <row r="297" spans="2:38" ht="15.75" customHeight="1">
      <c r="B297" s="297" t="s">
        <v>321</v>
      </c>
      <c r="C297" s="304">
        <f>C295*(1+(C293-(2*C294)))</f>
        <v>248.42749533486366</v>
      </c>
      <c r="D297" s="2"/>
      <c r="E297" s="2"/>
      <c r="F297" s="3"/>
      <c r="G297" s="3"/>
      <c r="H297" s="3"/>
      <c r="I297" s="2"/>
      <c r="J297" s="4"/>
      <c r="K297" s="3"/>
      <c r="L297" s="3"/>
      <c r="M297" s="3"/>
      <c r="N297" s="2"/>
      <c r="O297" s="2"/>
      <c r="P297" s="2"/>
      <c r="Q297" s="2"/>
      <c r="R297" s="2"/>
      <c r="S297" s="2"/>
      <c r="T297" s="2"/>
      <c r="U297" s="3"/>
      <c r="V297" s="3"/>
      <c r="W297" s="3"/>
      <c r="X297" s="2"/>
      <c r="Y297" s="2"/>
      <c r="Z297" s="3"/>
      <c r="AA297" s="3"/>
      <c r="AB297" s="3"/>
      <c r="AC297" s="2"/>
      <c r="AD297" s="2"/>
      <c r="AE297" s="3"/>
      <c r="AF297" s="3"/>
      <c r="AG297" s="3"/>
      <c r="AH297" s="2"/>
      <c r="AI297" s="2"/>
      <c r="AJ297" s="3"/>
      <c r="AK297" s="3"/>
      <c r="AL297" s="3"/>
    </row>
    <row r="298" spans="2:38" ht="15.75" customHeight="1">
      <c r="B298" s="752" t="s">
        <v>322</v>
      </c>
      <c r="C298" s="736"/>
      <c r="D298" s="2"/>
      <c r="E298" s="2"/>
      <c r="F298" s="3"/>
      <c r="G298" s="3"/>
      <c r="H298" s="3"/>
      <c r="I298" s="2"/>
      <c r="J298" s="4"/>
      <c r="K298" s="3"/>
      <c r="L298" s="3"/>
      <c r="M298" s="3"/>
      <c r="N298" s="2"/>
      <c r="O298" s="2"/>
      <c r="P298" s="2"/>
      <c r="Q298" s="2"/>
      <c r="R298" s="2"/>
      <c r="S298" s="2"/>
      <c r="T298" s="2"/>
      <c r="U298" s="3"/>
      <c r="V298" s="3"/>
      <c r="W298" s="3"/>
      <c r="X298" s="2"/>
      <c r="Y298" s="2"/>
      <c r="Z298" s="3"/>
      <c r="AA298" s="3"/>
      <c r="AB298" s="3"/>
      <c r="AC298" s="2"/>
      <c r="AD298" s="2"/>
      <c r="AE298" s="3"/>
      <c r="AF298" s="3"/>
      <c r="AG298" s="3"/>
      <c r="AH298" s="2"/>
      <c r="AI298" s="2"/>
      <c r="AJ298" s="3"/>
      <c r="AK298" s="3"/>
      <c r="AL298" s="3"/>
    </row>
    <row r="299" spans="2:38" ht="15.75" customHeight="1">
      <c r="B299" s="757"/>
      <c r="C299" s="736"/>
      <c r="D299" s="2"/>
      <c r="E299" s="2"/>
      <c r="F299" s="3"/>
      <c r="G299" s="3"/>
      <c r="H299" s="3"/>
      <c r="I299" s="2"/>
      <c r="J299" s="4"/>
      <c r="K299" s="3"/>
      <c r="L299" s="3"/>
      <c r="M299" s="3"/>
      <c r="N299" s="2"/>
      <c r="O299" s="2"/>
      <c r="P299" s="2"/>
      <c r="Q299" s="2"/>
      <c r="R299" s="2"/>
      <c r="S299" s="2"/>
      <c r="T299" s="2"/>
      <c r="U299" s="3"/>
      <c r="V299" s="3"/>
      <c r="W299" s="3"/>
      <c r="X299" s="2"/>
      <c r="Y299" s="2"/>
      <c r="Z299" s="3"/>
      <c r="AA299" s="3"/>
      <c r="AB299" s="3"/>
      <c r="AC299" s="2"/>
      <c r="AD299" s="2"/>
      <c r="AE299" s="3"/>
      <c r="AF299" s="3"/>
      <c r="AG299" s="3"/>
      <c r="AH299" s="2"/>
      <c r="AI299" s="2"/>
      <c r="AJ299" s="3"/>
      <c r="AK299" s="3"/>
      <c r="AL299" s="3"/>
    </row>
    <row r="300" spans="2:38" ht="15.75" customHeight="1">
      <c r="B300" s="757"/>
      <c r="C300" s="736"/>
      <c r="D300" s="2"/>
      <c r="E300" s="2"/>
      <c r="F300" s="3"/>
      <c r="G300" s="3"/>
      <c r="H300" s="3"/>
      <c r="I300" s="2"/>
      <c r="J300" s="4"/>
      <c r="K300" s="3"/>
      <c r="L300" s="3"/>
      <c r="M300" s="3"/>
      <c r="N300" s="2"/>
      <c r="O300" s="2"/>
      <c r="P300" s="2"/>
      <c r="Q300" s="2"/>
      <c r="R300" s="2"/>
      <c r="S300" s="2"/>
      <c r="T300" s="2"/>
      <c r="U300" s="3"/>
      <c r="V300" s="3"/>
      <c r="W300" s="3"/>
      <c r="X300" s="2"/>
      <c r="Y300" s="2"/>
      <c r="Z300" s="3"/>
      <c r="AA300" s="3"/>
      <c r="AB300" s="3"/>
      <c r="AC300" s="2"/>
      <c r="AD300" s="2"/>
      <c r="AE300" s="3"/>
      <c r="AF300" s="3"/>
      <c r="AG300" s="3"/>
      <c r="AH300" s="2"/>
      <c r="AI300" s="2"/>
      <c r="AJ300" s="3"/>
      <c r="AK300" s="3"/>
      <c r="AL300" s="3"/>
    </row>
    <row r="301" spans="2:38" ht="15.75" customHeight="1">
      <c r="B301" s="757"/>
      <c r="C301" s="736"/>
      <c r="D301" s="2"/>
      <c r="E301" s="2"/>
      <c r="F301" s="3"/>
      <c r="G301" s="3"/>
      <c r="H301" s="3"/>
      <c r="I301" s="2"/>
      <c r="J301" s="4"/>
      <c r="K301" s="3"/>
      <c r="L301" s="3"/>
      <c r="M301" s="3"/>
      <c r="N301" s="2"/>
      <c r="O301" s="2"/>
      <c r="P301" s="2"/>
      <c r="Q301" s="2"/>
      <c r="R301" s="2"/>
      <c r="S301" s="2"/>
      <c r="T301" s="2"/>
      <c r="U301" s="3"/>
      <c r="V301" s="3"/>
      <c r="W301" s="3"/>
      <c r="X301" s="2"/>
      <c r="Y301" s="2"/>
      <c r="Z301" s="3"/>
      <c r="AA301" s="3"/>
      <c r="AB301" s="3"/>
      <c r="AC301" s="2"/>
      <c r="AD301" s="2"/>
      <c r="AE301" s="3"/>
      <c r="AF301" s="3"/>
      <c r="AG301" s="3"/>
      <c r="AH301" s="2"/>
      <c r="AI301" s="2"/>
      <c r="AJ301" s="3"/>
      <c r="AK301" s="3"/>
      <c r="AL301" s="3"/>
    </row>
    <row r="302" spans="2:38" ht="15.75" customHeight="1">
      <c r="B302" s="757"/>
      <c r="C302" s="736"/>
      <c r="D302" s="2"/>
      <c r="E302" s="2"/>
      <c r="F302" s="3"/>
      <c r="G302" s="3"/>
      <c r="H302" s="3"/>
      <c r="I302" s="2"/>
      <c r="J302" s="4"/>
      <c r="K302" s="3"/>
      <c r="L302" s="3"/>
      <c r="M302" s="3"/>
      <c r="N302" s="2"/>
      <c r="O302" s="2"/>
      <c r="P302" s="2"/>
      <c r="Q302" s="2"/>
      <c r="R302" s="2"/>
      <c r="S302" s="2"/>
      <c r="T302" s="2"/>
      <c r="U302" s="3"/>
      <c r="V302" s="3"/>
      <c r="W302" s="3"/>
      <c r="X302" s="2"/>
      <c r="Y302" s="2"/>
      <c r="Z302" s="3"/>
      <c r="AA302" s="3"/>
      <c r="AB302" s="3"/>
      <c r="AC302" s="2"/>
      <c r="AD302" s="2"/>
      <c r="AE302" s="3"/>
      <c r="AF302" s="3"/>
      <c r="AG302" s="3"/>
      <c r="AH302" s="2"/>
      <c r="AI302" s="2"/>
      <c r="AJ302" s="3"/>
      <c r="AK302" s="3"/>
      <c r="AL302" s="3"/>
    </row>
    <row r="303" spans="2:38" ht="15.75" customHeight="1">
      <c r="B303" s="757"/>
      <c r="C303" s="736"/>
      <c r="D303" s="2"/>
      <c r="E303" s="2"/>
      <c r="F303" s="3"/>
      <c r="G303" s="3"/>
      <c r="H303" s="3"/>
      <c r="I303" s="2"/>
      <c r="J303" s="4"/>
      <c r="K303" s="3"/>
      <c r="L303" s="3"/>
      <c r="M303" s="3"/>
      <c r="N303" s="2"/>
      <c r="O303" s="2"/>
      <c r="P303" s="2"/>
      <c r="Q303" s="2"/>
      <c r="R303" s="2"/>
      <c r="S303" s="2"/>
      <c r="T303" s="2"/>
      <c r="U303" s="3"/>
      <c r="V303" s="3"/>
      <c r="W303" s="3"/>
      <c r="X303" s="2"/>
      <c r="Y303" s="2"/>
      <c r="Z303" s="3"/>
      <c r="AA303" s="3"/>
      <c r="AB303" s="3"/>
      <c r="AC303" s="2"/>
      <c r="AD303" s="2"/>
      <c r="AE303" s="3"/>
      <c r="AF303" s="3"/>
      <c r="AG303" s="3"/>
      <c r="AH303" s="2"/>
      <c r="AI303" s="2"/>
      <c r="AJ303" s="3"/>
      <c r="AK303" s="3"/>
      <c r="AL303" s="3"/>
    </row>
    <row r="304" spans="2:38" ht="15.75" customHeight="1">
      <c r="B304" s="757"/>
      <c r="C304" s="736"/>
      <c r="D304" s="2"/>
      <c r="E304" s="2"/>
      <c r="F304" s="3"/>
      <c r="G304" s="3"/>
      <c r="H304" s="3"/>
      <c r="I304" s="2"/>
      <c r="J304" s="4"/>
      <c r="K304" s="3"/>
      <c r="L304" s="3"/>
      <c r="M304" s="3"/>
      <c r="N304" s="2"/>
      <c r="O304" s="2"/>
      <c r="P304" s="2"/>
      <c r="Q304" s="2"/>
      <c r="R304" s="2"/>
      <c r="S304" s="2"/>
      <c r="T304" s="2"/>
      <c r="U304" s="3"/>
      <c r="V304" s="3"/>
      <c r="W304" s="3"/>
      <c r="X304" s="2"/>
      <c r="Y304" s="2"/>
      <c r="Z304" s="3"/>
      <c r="AA304" s="3"/>
      <c r="AB304" s="3"/>
      <c r="AC304" s="2"/>
      <c r="AD304" s="2"/>
      <c r="AE304" s="3"/>
      <c r="AF304" s="3"/>
      <c r="AG304" s="3"/>
      <c r="AH304" s="2"/>
      <c r="AI304" s="2"/>
      <c r="AJ304" s="3"/>
      <c r="AK304" s="3"/>
      <c r="AL304" s="3"/>
    </row>
    <row r="305" spans="2:38" ht="15.75" customHeight="1">
      <c r="B305" s="757"/>
      <c r="C305" s="736"/>
      <c r="D305" s="2"/>
      <c r="E305" s="2"/>
      <c r="F305" s="3"/>
      <c r="G305" s="3"/>
      <c r="H305" s="3"/>
      <c r="I305" s="2"/>
      <c r="J305" s="4"/>
      <c r="K305" s="3"/>
      <c r="L305" s="3"/>
      <c r="M305" s="3"/>
      <c r="N305" s="2"/>
      <c r="O305" s="2"/>
      <c r="P305" s="2"/>
      <c r="Q305" s="2"/>
      <c r="R305" s="2"/>
      <c r="S305" s="2"/>
      <c r="T305" s="2"/>
      <c r="U305" s="3"/>
      <c r="V305" s="3"/>
      <c r="W305" s="3"/>
      <c r="X305" s="2"/>
      <c r="Y305" s="2"/>
      <c r="Z305" s="3"/>
      <c r="AA305" s="3"/>
      <c r="AB305" s="3"/>
      <c r="AC305" s="2"/>
      <c r="AD305" s="2"/>
      <c r="AE305" s="3"/>
      <c r="AF305" s="3"/>
      <c r="AG305" s="3"/>
      <c r="AH305" s="2"/>
      <c r="AI305" s="2"/>
      <c r="AJ305" s="3"/>
      <c r="AK305" s="3"/>
      <c r="AL305" s="3"/>
    </row>
    <row r="306" spans="2:38" ht="15.75" customHeight="1">
      <c r="B306" s="757"/>
      <c r="C306" s="736"/>
      <c r="D306" s="2"/>
      <c r="E306" s="2"/>
      <c r="F306" s="3"/>
      <c r="G306" s="3"/>
      <c r="H306" s="3"/>
      <c r="I306" s="2"/>
      <c r="J306" s="4"/>
      <c r="K306" s="3"/>
      <c r="L306" s="3"/>
      <c r="M306" s="3"/>
      <c r="N306" s="2"/>
      <c r="O306" s="2"/>
      <c r="P306" s="2"/>
      <c r="Q306" s="2"/>
      <c r="R306" s="2"/>
      <c r="S306" s="2"/>
      <c r="T306" s="2"/>
      <c r="U306" s="3"/>
      <c r="V306" s="3"/>
      <c r="W306" s="3"/>
      <c r="X306" s="2"/>
      <c r="Y306" s="2"/>
      <c r="Z306" s="3"/>
      <c r="AA306" s="3"/>
      <c r="AB306" s="3"/>
      <c r="AC306" s="2"/>
      <c r="AD306" s="2"/>
      <c r="AE306" s="3"/>
      <c r="AF306" s="3"/>
      <c r="AG306" s="3"/>
      <c r="AH306" s="2"/>
      <c r="AI306" s="2"/>
      <c r="AJ306" s="3"/>
      <c r="AK306" s="3"/>
      <c r="AL306" s="3"/>
    </row>
    <row r="307" spans="2:38" ht="15.75" customHeight="1">
      <c r="B307" s="757"/>
      <c r="C307" s="736"/>
      <c r="D307" s="2"/>
      <c r="E307" s="2"/>
      <c r="F307" s="3"/>
      <c r="G307" s="3"/>
      <c r="H307" s="3"/>
      <c r="I307" s="2"/>
      <c r="J307" s="4"/>
      <c r="K307" s="3"/>
      <c r="L307" s="3"/>
      <c r="M307" s="3"/>
      <c r="N307" s="2"/>
      <c r="O307" s="2"/>
      <c r="P307" s="2"/>
      <c r="Q307" s="2"/>
      <c r="R307" s="2"/>
      <c r="S307" s="2"/>
      <c r="T307" s="2"/>
      <c r="U307" s="3"/>
      <c r="V307" s="3"/>
      <c r="W307" s="3"/>
      <c r="X307" s="2"/>
      <c r="Y307" s="2"/>
      <c r="Z307" s="3"/>
      <c r="AA307" s="3"/>
      <c r="AB307" s="3"/>
      <c r="AC307" s="2"/>
      <c r="AD307" s="2"/>
      <c r="AE307" s="3"/>
      <c r="AF307" s="3"/>
      <c r="AG307" s="3"/>
      <c r="AH307" s="2"/>
      <c r="AI307" s="2"/>
      <c r="AJ307" s="3"/>
      <c r="AK307" s="3"/>
      <c r="AL307" s="3"/>
    </row>
    <row r="308" spans="2:38" ht="15.75" customHeight="1">
      <c r="B308" s="757"/>
      <c r="C308" s="736"/>
      <c r="D308" s="2"/>
      <c r="E308" s="2"/>
      <c r="F308" s="3"/>
      <c r="G308" s="3"/>
      <c r="H308" s="3"/>
      <c r="I308" s="2"/>
      <c r="J308" s="4"/>
      <c r="K308" s="3"/>
      <c r="L308" s="3"/>
      <c r="M308" s="3"/>
      <c r="N308" s="2"/>
      <c r="O308" s="2"/>
      <c r="P308" s="2"/>
      <c r="Q308" s="2"/>
      <c r="R308" s="2"/>
      <c r="S308" s="2"/>
      <c r="T308" s="2"/>
      <c r="U308" s="3"/>
      <c r="V308" s="3"/>
      <c r="W308" s="3"/>
      <c r="X308" s="2"/>
      <c r="Y308" s="2"/>
      <c r="Z308" s="3"/>
      <c r="AA308" s="3"/>
      <c r="AB308" s="3"/>
      <c r="AC308" s="2"/>
      <c r="AD308" s="2"/>
      <c r="AE308" s="3"/>
      <c r="AF308" s="3"/>
      <c r="AG308" s="3"/>
      <c r="AH308" s="2"/>
      <c r="AI308" s="2"/>
      <c r="AJ308" s="3"/>
      <c r="AK308" s="3"/>
      <c r="AL308" s="3"/>
    </row>
    <row r="309" spans="2:38" ht="15.75" customHeight="1">
      <c r="B309" s="757"/>
      <c r="C309" s="736"/>
      <c r="D309" s="2"/>
      <c r="E309" s="2"/>
      <c r="F309" s="3"/>
      <c r="G309" s="3"/>
      <c r="H309" s="3"/>
      <c r="I309" s="2"/>
      <c r="J309" s="4"/>
      <c r="K309" s="3"/>
      <c r="L309" s="3"/>
      <c r="M309" s="3"/>
      <c r="N309" s="2"/>
      <c r="O309" s="2"/>
      <c r="P309" s="2"/>
      <c r="Q309" s="2"/>
      <c r="R309" s="2"/>
      <c r="S309" s="2"/>
      <c r="T309" s="2"/>
      <c r="U309" s="3"/>
      <c r="V309" s="3"/>
      <c r="W309" s="3"/>
      <c r="X309" s="2"/>
      <c r="Y309" s="2"/>
      <c r="Z309" s="3"/>
      <c r="AA309" s="3"/>
      <c r="AB309" s="3"/>
      <c r="AC309" s="2"/>
      <c r="AD309" s="2"/>
      <c r="AE309" s="3"/>
      <c r="AF309" s="3"/>
      <c r="AG309" s="3"/>
      <c r="AH309" s="2"/>
      <c r="AI309" s="2"/>
      <c r="AJ309" s="3"/>
      <c r="AK309" s="3"/>
      <c r="AL309" s="3"/>
    </row>
    <row r="310" spans="2:38" ht="15.75" customHeight="1">
      <c r="B310" s="757"/>
      <c r="C310" s="736"/>
      <c r="D310" s="2"/>
      <c r="E310" s="2"/>
      <c r="F310" s="3"/>
      <c r="G310" s="3"/>
      <c r="H310" s="3"/>
      <c r="I310" s="2"/>
      <c r="J310" s="4"/>
      <c r="K310" s="3"/>
      <c r="L310" s="3"/>
      <c r="M310" s="3"/>
      <c r="N310" s="2"/>
      <c r="O310" s="2"/>
      <c r="P310" s="2"/>
      <c r="Q310" s="2"/>
      <c r="R310" s="2"/>
      <c r="S310" s="2"/>
      <c r="T310" s="2"/>
      <c r="U310" s="3"/>
      <c r="V310" s="3"/>
      <c r="W310" s="3"/>
      <c r="X310" s="2"/>
      <c r="Y310" s="2"/>
      <c r="Z310" s="3"/>
      <c r="AA310" s="3"/>
      <c r="AB310" s="3"/>
      <c r="AC310" s="2"/>
      <c r="AD310" s="2"/>
      <c r="AE310" s="3"/>
      <c r="AF310" s="3"/>
      <c r="AG310" s="3"/>
      <c r="AH310" s="2"/>
      <c r="AI310" s="2"/>
      <c r="AJ310" s="3"/>
      <c r="AK310" s="3"/>
      <c r="AL310" s="3"/>
    </row>
    <row r="311" spans="2:38" ht="15.75" customHeight="1">
      <c r="B311" s="757"/>
      <c r="C311" s="736"/>
      <c r="D311" s="2"/>
      <c r="E311" s="2"/>
      <c r="F311" s="3"/>
      <c r="G311" s="3"/>
      <c r="H311" s="3"/>
      <c r="I311" s="2"/>
      <c r="J311" s="4"/>
      <c r="K311" s="3"/>
      <c r="L311" s="3"/>
      <c r="M311" s="3"/>
      <c r="N311" s="2"/>
      <c r="O311" s="2"/>
      <c r="P311" s="2"/>
      <c r="Q311" s="2"/>
      <c r="R311" s="2"/>
      <c r="S311" s="2"/>
      <c r="T311" s="2"/>
      <c r="U311" s="3"/>
      <c r="V311" s="3"/>
      <c r="W311" s="3"/>
      <c r="X311" s="2"/>
      <c r="Y311" s="2"/>
      <c r="Z311" s="3"/>
      <c r="AA311" s="3"/>
      <c r="AB311" s="3"/>
      <c r="AC311" s="2"/>
      <c r="AD311" s="2"/>
      <c r="AE311" s="3"/>
      <c r="AF311" s="3"/>
      <c r="AG311" s="3"/>
      <c r="AH311" s="2"/>
      <c r="AI311" s="2"/>
      <c r="AJ311" s="3"/>
      <c r="AK311" s="3"/>
      <c r="AL311" s="3"/>
    </row>
    <row r="312" spans="2:38" ht="15.75" customHeight="1">
      <c r="B312" s="757"/>
      <c r="C312" s="736"/>
      <c r="D312" s="2"/>
      <c r="E312" s="2"/>
      <c r="F312" s="3"/>
      <c r="G312" s="3"/>
      <c r="H312" s="3"/>
      <c r="I312" s="2"/>
      <c r="J312" s="4"/>
      <c r="K312" s="3"/>
      <c r="L312" s="3"/>
      <c r="M312" s="3"/>
      <c r="N312" s="2"/>
      <c r="O312" s="2"/>
      <c r="P312" s="2"/>
      <c r="Q312" s="2"/>
      <c r="R312" s="2"/>
      <c r="S312" s="2"/>
      <c r="T312" s="2"/>
      <c r="U312" s="3"/>
      <c r="V312" s="3"/>
      <c r="W312" s="3"/>
      <c r="X312" s="2"/>
      <c r="Y312" s="2"/>
      <c r="Z312" s="3"/>
      <c r="AA312" s="3"/>
      <c r="AB312" s="3"/>
      <c r="AC312" s="2"/>
      <c r="AD312" s="2"/>
      <c r="AE312" s="3"/>
      <c r="AF312" s="3"/>
      <c r="AG312" s="3"/>
      <c r="AH312" s="2"/>
      <c r="AI312" s="2"/>
      <c r="AJ312" s="3"/>
      <c r="AK312" s="3"/>
      <c r="AL312" s="3"/>
    </row>
    <row r="313" spans="2:38" ht="15.75" customHeight="1">
      <c r="B313" s="758"/>
      <c r="C313" s="754"/>
      <c r="D313" s="2"/>
      <c r="E313" s="2"/>
      <c r="F313" s="3"/>
      <c r="G313" s="3"/>
      <c r="H313" s="3"/>
      <c r="I313" s="2"/>
      <c r="J313" s="4"/>
      <c r="K313" s="3"/>
      <c r="L313" s="3"/>
      <c r="M313" s="3"/>
      <c r="N313" s="2"/>
      <c r="O313" s="2"/>
      <c r="P313" s="2"/>
      <c r="Q313" s="2"/>
      <c r="R313" s="2"/>
      <c r="S313" s="2"/>
      <c r="T313" s="2"/>
      <c r="U313" s="3"/>
      <c r="V313" s="3"/>
      <c r="W313" s="3"/>
      <c r="X313" s="2"/>
      <c r="Y313" s="2"/>
      <c r="Z313" s="3"/>
      <c r="AA313" s="3"/>
      <c r="AB313" s="3"/>
      <c r="AC313" s="2"/>
      <c r="AD313" s="2"/>
      <c r="AE313" s="3"/>
      <c r="AF313" s="3"/>
      <c r="AG313" s="3"/>
      <c r="AH313" s="2"/>
      <c r="AI313" s="2"/>
      <c r="AJ313" s="3"/>
      <c r="AK313" s="3"/>
      <c r="AL313" s="3"/>
    </row>
    <row r="314" spans="2:38" ht="15.75" customHeight="1">
      <c r="B314" s="1"/>
      <c r="C314" s="1"/>
      <c r="D314" s="2"/>
      <c r="E314" s="2"/>
      <c r="F314" s="3"/>
      <c r="G314" s="3"/>
      <c r="H314" s="3"/>
      <c r="I314" s="2"/>
      <c r="J314" s="4"/>
      <c r="K314" s="3"/>
      <c r="L314" s="3"/>
      <c r="M314" s="3"/>
      <c r="N314" s="2"/>
      <c r="O314" s="2"/>
      <c r="P314" s="2"/>
      <c r="Q314" s="2"/>
      <c r="R314" s="2"/>
      <c r="S314" s="2"/>
      <c r="T314" s="2"/>
      <c r="U314" s="3"/>
      <c r="V314" s="3"/>
      <c r="W314" s="3"/>
      <c r="X314" s="2"/>
      <c r="Y314" s="2"/>
      <c r="Z314" s="3"/>
      <c r="AA314" s="3"/>
      <c r="AB314" s="3"/>
      <c r="AC314" s="2"/>
      <c r="AD314" s="2"/>
      <c r="AE314" s="3"/>
      <c r="AF314" s="3"/>
      <c r="AG314" s="3"/>
      <c r="AH314" s="2"/>
      <c r="AI314" s="2"/>
      <c r="AJ314" s="3"/>
      <c r="AK314" s="3"/>
      <c r="AL314" s="3"/>
    </row>
    <row r="315" spans="2:38" ht="15.75" customHeight="1">
      <c r="B315" s="1"/>
      <c r="C315" s="1"/>
      <c r="D315" s="2"/>
      <c r="E315" s="2"/>
      <c r="F315" s="3"/>
      <c r="G315" s="3"/>
      <c r="H315" s="3"/>
      <c r="I315" s="2"/>
      <c r="J315" s="4"/>
      <c r="K315" s="3"/>
      <c r="L315" s="3"/>
      <c r="M315" s="3"/>
      <c r="N315" s="2"/>
      <c r="O315" s="2"/>
      <c r="P315" s="2"/>
      <c r="Q315" s="2"/>
      <c r="R315" s="2"/>
      <c r="S315" s="2"/>
      <c r="T315" s="2"/>
      <c r="U315" s="3"/>
      <c r="V315" s="3"/>
      <c r="W315" s="3"/>
      <c r="X315" s="2"/>
      <c r="Y315" s="2"/>
      <c r="Z315" s="3"/>
      <c r="AA315" s="3"/>
      <c r="AB315" s="3"/>
      <c r="AC315" s="2"/>
      <c r="AD315" s="2"/>
      <c r="AE315" s="3"/>
      <c r="AF315" s="3"/>
      <c r="AG315" s="3"/>
      <c r="AH315" s="2"/>
      <c r="AI315" s="2"/>
      <c r="AJ315" s="3"/>
      <c r="AK315" s="3"/>
      <c r="AL315" s="3"/>
    </row>
    <row r="316" spans="2:38" ht="15.75" customHeight="1">
      <c r="B316" s="1"/>
      <c r="C316" s="1"/>
      <c r="D316" s="2"/>
      <c r="E316" s="2"/>
      <c r="F316" s="3"/>
      <c r="G316" s="3"/>
      <c r="H316" s="3"/>
      <c r="I316" s="2"/>
      <c r="J316" s="4"/>
      <c r="K316" s="3"/>
      <c r="L316" s="3"/>
      <c r="M316" s="3"/>
      <c r="N316" s="2"/>
      <c r="O316" s="2"/>
      <c r="P316" s="2"/>
      <c r="Q316" s="2"/>
      <c r="R316" s="2"/>
      <c r="S316" s="2"/>
      <c r="T316" s="2"/>
      <c r="U316" s="3"/>
      <c r="V316" s="3"/>
      <c r="W316" s="3"/>
      <c r="X316" s="2"/>
      <c r="Y316" s="2"/>
      <c r="Z316" s="3"/>
      <c r="AA316" s="3"/>
      <c r="AB316" s="3"/>
      <c r="AC316" s="2"/>
      <c r="AD316" s="2"/>
      <c r="AE316" s="3"/>
      <c r="AF316" s="3"/>
      <c r="AG316" s="3"/>
      <c r="AH316" s="2"/>
      <c r="AI316" s="2"/>
      <c r="AJ316" s="3"/>
      <c r="AK316" s="3"/>
      <c r="AL316" s="3"/>
    </row>
    <row r="317" spans="2:38" ht="15.75" customHeight="1">
      <c r="B317" s="1"/>
      <c r="C317" s="1"/>
      <c r="D317" s="2"/>
      <c r="E317" s="2"/>
      <c r="F317" s="3"/>
      <c r="G317" s="3"/>
      <c r="H317" s="3"/>
      <c r="I317" s="2"/>
      <c r="J317" s="4"/>
      <c r="K317" s="3"/>
      <c r="L317" s="3"/>
      <c r="M317" s="3"/>
      <c r="N317" s="2"/>
      <c r="O317" s="2"/>
      <c r="P317" s="2"/>
      <c r="Q317" s="2"/>
      <c r="R317" s="2"/>
      <c r="S317" s="2"/>
      <c r="T317" s="2"/>
      <c r="U317" s="3"/>
      <c r="V317" s="3"/>
      <c r="W317" s="3"/>
      <c r="X317" s="2"/>
      <c r="Y317" s="2"/>
      <c r="Z317" s="3"/>
      <c r="AA317" s="3"/>
      <c r="AB317" s="3"/>
      <c r="AC317" s="2"/>
      <c r="AD317" s="2"/>
      <c r="AE317" s="3"/>
      <c r="AF317" s="3"/>
      <c r="AG317" s="3"/>
      <c r="AH317" s="2"/>
      <c r="AI317" s="2"/>
      <c r="AJ317" s="3"/>
      <c r="AK317" s="3"/>
      <c r="AL317" s="3"/>
    </row>
    <row r="318" spans="2:38" ht="15.75" customHeight="1">
      <c r="B318" s="1"/>
      <c r="C318" s="1"/>
      <c r="D318" s="2"/>
      <c r="E318" s="2"/>
      <c r="F318" s="3"/>
      <c r="G318" s="3"/>
      <c r="H318" s="3"/>
      <c r="I318" s="2"/>
      <c r="J318" s="4"/>
      <c r="K318" s="3"/>
      <c r="L318" s="3"/>
      <c r="M318" s="3"/>
      <c r="N318" s="2"/>
      <c r="O318" s="2"/>
      <c r="P318" s="2"/>
      <c r="Q318" s="2"/>
      <c r="R318" s="2"/>
      <c r="S318" s="2"/>
      <c r="T318" s="2"/>
      <c r="U318" s="3"/>
      <c r="V318" s="3"/>
      <c r="W318" s="3"/>
      <c r="X318" s="2"/>
      <c r="Y318" s="2"/>
      <c r="Z318" s="3"/>
      <c r="AA318" s="3"/>
      <c r="AB318" s="3"/>
      <c r="AC318" s="2"/>
      <c r="AD318" s="2"/>
      <c r="AE318" s="3"/>
      <c r="AF318" s="3"/>
      <c r="AG318" s="3"/>
      <c r="AH318" s="2"/>
      <c r="AI318" s="2"/>
      <c r="AJ318" s="3"/>
      <c r="AK318" s="3"/>
      <c r="AL318" s="3"/>
    </row>
    <row r="319" spans="2:38" ht="15.75" customHeight="1">
      <c r="B319" s="1"/>
      <c r="C319" s="1"/>
      <c r="D319" s="2"/>
      <c r="E319" s="2"/>
      <c r="F319" s="3"/>
      <c r="G319" s="3"/>
      <c r="H319" s="3"/>
      <c r="I319" s="2"/>
      <c r="J319" s="4"/>
      <c r="K319" s="3"/>
      <c r="L319" s="3"/>
      <c r="M319" s="3"/>
      <c r="N319" s="2"/>
      <c r="O319" s="2"/>
      <c r="P319" s="2"/>
      <c r="Q319" s="2"/>
      <c r="R319" s="2"/>
      <c r="S319" s="2"/>
      <c r="T319" s="2"/>
      <c r="U319" s="3"/>
      <c r="V319" s="3"/>
      <c r="W319" s="3"/>
      <c r="X319" s="2"/>
      <c r="Y319" s="2"/>
      <c r="Z319" s="3"/>
      <c r="AA319" s="3"/>
      <c r="AB319" s="3"/>
      <c r="AC319" s="2"/>
      <c r="AD319" s="2"/>
      <c r="AE319" s="3"/>
      <c r="AF319" s="3"/>
      <c r="AG319" s="3"/>
      <c r="AH319" s="2"/>
      <c r="AI319" s="2"/>
      <c r="AJ319" s="3"/>
      <c r="AK319" s="3"/>
      <c r="AL319" s="3"/>
    </row>
    <row r="320" spans="2:38" ht="15.75" customHeight="1">
      <c r="B320" s="1"/>
      <c r="C320" s="1"/>
      <c r="D320" s="2"/>
      <c r="E320" s="2"/>
      <c r="F320" s="3"/>
      <c r="G320" s="3"/>
      <c r="H320" s="3"/>
      <c r="I320" s="2"/>
      <c r="J320" s="4"/>
      <c r="K320" s="3"/>
      <c r="L320" s="3"/>
      <c r="M320" s="3"/>
      <c r="N320" s="2"/>
      <c r="O320" s="2"/>
      <c r="P320" s="2"/>
      <c r="Q320" s="2"/>
      <c r="R320" s="2"/>
      <c r="S320" s="2"/>
      <c r="T320" s="2"/>
      <c r="U320" s="3"/>
      <c r="V320" s="3"/>
      <c r="W320" s="3"/>
      <c r="X320" s="2"/>
      <c r="Y320" s="2"/>
      <c r="Z320" s="3"/>
      <c r="AA320" s="3"/>
      <c r="AB320" s="3"/>
      <c r="AC320" s="2"/>
      <c r="AD320" s="2"/>
      <c r="AE320" s="3"/>
      <c r="AF320" s="3"/>
      <c r="AG320" s="3"/>
      <c r="AH320" s="2"/>
      <c r="AI320" s="2"/>
      <c r="AJ320" s="3"/>
      <c r="AK320" s="3"/>
      <c r="AL320" s="3"/>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sheetData>
  <mergeCells count="153">
    <mergeCell ref="B2:C2"/>
    <mergeCell ref="B3:C3"/>
    <mergeCell ref="B4:C4"/>
    <mergeCell ref="B13:C13"/>
    <mergeCell ref="B14:C14"/>
    <mergeCell ref="B15:C15"/>
    <mergeCell ref="B16:C16"/>
    <mergeCell ref="B17:C17"/>
    <mergeCell ref="B18:C18"/>
    <mergeCell ref="B19:C19"/>
    <mergeCell ref="B20:C20"/>
    <mergeCell ref="B21:C21"/>
    <mergeCell ref="B25:C25"/>
    <mergeCell ref="B31:C31"/>
    <mergeCell ref="B32:C32"/>
    <mergeCell ref="B35:C35"/>
    <mergeCell ref="B39:C39"/>
    <mergeCell ref="B40:C40"/>
    <mergeCell ref="B41:C41"/>
    <mergeCell ref="B42:C42"/>
    <mergeCell ref="B43:C43"/>
    <mergeCell ref="B44:C44"/>
    <mergeCell ref="B47:C47"/>
    <mergeCell ref="B48:C48"/>
    <mergeCell ref="B49:C49"/>
    <mergeCell ref="B50:C50"/>
    <mergeCell ref="B51:C51"/>
    <mergeCell ref="B52:C52"/>
    <mergeCell ref="B53:C53"/>
    <mergeCell ref="B54:C54"/>
    <mergeCell ref="B55:C55"/>
    <mergeCell ref="B56:C56"/>
    <mergeCell ref="B61:C61"/>
    <mergeCell ref="B64:C64"/>
    <mergeCell ref="B65:C65"/>
    <mergeCell ref="B66:C66"/>
    <mergeCell ref="B67:C67"/>
    <mergeCell ref="B68:C68"/>
    <mergeCell ref="B69:C69"/>
    <mergeCell ref="B70:C70"/>
    <mergeCell ref="B78:C78"/>
    <mergeCell ref="B80:C80"/>
    <mergeCell ref="B81:C81"/>
    <mergeCell ref="B82:C82"/>
    <mergeCell ref="B83:C83"/>
    <mergeCell ref="B85:C85"/>
    <mergeCell ref="B86:C86"/>
    <mergeCell ref="B87:C87"/>
    <mergeCell ref="B88:C88"/>
    <mergeCell ref="B177:C177"/>
    <mergeCell ref="B178:C178"/>
    <mergeCell ref="B179:C179"/>
    <mergeCell ref="B180:C180"/>
    <mergeCell ref="B182:C182"/>
    <mergeCell ref="B89:C89"/>
    <mergeCell ref="B90:C90"/>
    <mergeCell ref="B91:C91"/>
    <mergeCell ref="B92:C92"/>
    <mergeCell ref="B94:C94"/>
    <mergeCell ref="B95:C95"/>
    <mergeCell ref="B96:C96"/>
    <mergeCell ref="B97:C97"/>
    <mergeCell ref="B98:C98"/>
    <mergeCell ref="B99:C99"/>
    <mergeCell ref="B105:C105"/>
    <mergeCell ref="B106:C106"/>
    <mergeCell ref="B107:C107"/>
    <mergeCell ref="B108:C108"/>
    <mergeCell ref="B109:C109"/>
    <mergeCell ref="B183:C183"/>
    <mergeCell ref="B187:C187"/>
    <mergeCell ref="B188:C188"/>
    <mergeCell ref="B189:C189"/>
    <mergeCell ref="B190:C190"/>
    <mergeCell ref="B191:C191"/>
    <mergeCell ref="B192:C192"/>
    <mergeCell ref="B193:C193"/>
    <mergeCell ref="B194:C194"/>
    <mergeCell ref="B196:C196"/>
    <mergeCell ref="B198:C198"/>
    <mergeCell ref="B199:C199"/>
    <mergeCell ref="B200:C200"/>
    <mergeCell ref="B201:C201"/>
    <mergeCell ref="B202:C202"/>
    <mergeCell ref="B203:C203"/>
    <mergeCell ref="B204:C204"/>
    <mergeCell ref="B205:C205"/>
    <mergeCell ref="B206:C206"/>
    <mergeCell ref="B207:C207"/>
    <mergeCell ref="B209:C209"/>
    <mergeCell ref="B211:C211"/>
    <mergeCell ref="B212:C212"/>
    <mergeCell ref="B214:C214"/>
    <mergeCell ref="B215:C215"/>
    <mergeCell ref="B216:C216"/>
    <mergeCell ref="B217:C217"/>
    <mergeCell ref="B218:C218"/>
    <mergeCell ref="B219:C219"/>
    <mergeCell ref="B220:C220"/>
    <mergeCell ref="B222:C222"/>
    <mergeCell ref="B226:C226"/>
    <mergeCell ref="B227:C227"/>
    <mergeCell ref="B229:C229"/>
    <mergeCell ref="B233:C233"/>
    <mergeCell ref="B237:C237"/>
    <mergeCell ref="B239:C239"/>
    <mergeCell ref="B287:C287"/>
    <mergeCell ref="B288:C288"/>
    <mergeCell ref="B289:C289"/>
    <mergeCell ref="B290:C290"/>
    <mergeCell ref="B292:C292"/>
    <mergeCell ref="B298:C313"/>
    <mergeCell ref="B243:C243"/>
    <mergeCell ref="B244:C244"/>
    <mergeCell ref="B248:C248"/>
    <mergeCell ref="B257:C257"/>
    <mergeCell ref="B258:C258"/>
    <mergeCell ref="B260:C260"/>
    <mergeCell ref="B286:C286"/>
    <mergeCell ref="B110:C110"/>
    <mergeCell ref="B111:C111"/>
    <mergeCell ref="B112:C112"/>
    <mergeCell ref="B113:C113"/>
    <mergeCell ref="B114:C114"/>
    <mergeCell ref="B115:C115"/>
    <mergeCell ref="B116:C116"/>
    <mergeCell ref="B117:C117"/>
    <mergeCell ref="B124:C124"/>
    <mergeCell ref="B126:C126"/>
    <mergeCell ref="B127:C127"/>
    <mergeCell ref="B128:C128"/>
    <mergeCell ref="B131:C131"/>
    <mergeCell ref="B136:C136"/>
    <mergeCell ref="B137:C137"/>
    <mergeCell ref="B138:C138"/>
    <mergeCell ref="B139:C139"/>
    <mergeCell ref="B140:C140"/>
    <mergeCell ref="B164:C164"/>
    <mergeCell ref="B165:C165"/>
    <mergeCell ref="B166:C166"/>
    <mergeCell ref="B167:C167"/>
    <mergeCell ref="B168:C168"/>
    <mergeCell ref="B173:C173"/>
    <mergeCell ref="B176:C176"/>
    <mergeCell ref="B141:C141"/>
    <mergeCell ref="B142:C142"/>
    <mergeCell ref="B143:C143"/>
    <mergeCell ref="B146:C146"/>
    <mergeCell ref="B147:C147"/>
    <mergeCell ref="B157:C157"/>
    <mergeCell ref="B159:C159"/>
    <mergeCell ref="B160:C160"/>
    <mergeCell ref="B161:C161"/>
  </mergeCells>
  <pageMargins left="0.7" right="0.7" top="0.75" bottom="0.75" header="0" footer="0"/>
  <pageSetup orientation="landscape"/>
  <headerFooter>
    <oddFooter>&amp;CGutenberg Research LLC prohibits the redistribution of this document in whole or part without the written permission.  © Gutenberg Research LLC 2016.</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
  <sheetViews>
    <sheetView topLeftCell="A28" workbookViewId="0">
      <selection activeCell="B5" sqref="B5:F5"/>
    </sheetView>
  </sheetViews>
  <sheetFormatPr defaultColWidth="14.44140625" defaultRowHeight="15" customHeight="1"/>
  <cols>
    <col min="1" max="1" width="3.109375" customWidth="1"/>
    <col min="2" max="6" width="17.6640625" customWidth="1"/>
    <col min="7" max="9" width="8.6640625" customWidth="1"/>
    <col min="10" max="10" width="17.88671875" customWidth="1"/>
    <col min="11" max="11" width="13.109375" customWidth="1"/>
    <col min="12" max="17" width="11.6640625" customWidth="1"/>
    <col min="18" max="18" width="10.6640625" customWidth="1"/>
    <col min="19" max="20" width="8.6640625" customWidth="1"/>
  </cols>
  <sheetData>
    <row r="1" spans="1:20" ht="14.25" customHeight="1"/>
    <row r="2" spans="1:20" ht="14.25" customHeight="1"/>
    <row r="3" spans="1:20" ht="14.25" customHeight="1"/>
    <row r="4" spans="1:20" ht="14.25" customHeight="1"/>
    <row r="5" spans="1:20" ht="14.25" customHeight="1">
      <c r="A5" s="305"/>
      <c r="B5" s="537" t="s">
        <v>323</v>
      </c>
      <c r="C5" s="537" t="s">
        <v>324</v>
      </c>
      <c r="D5" s="537" t="s">
        <v>325</v>
      </c>
      <c r="E5" s="537" t="s">
        <v>326</v>
      </c>
      <c r="F5" s="537" t="s">
        <v>327</v>
      </c>
      <c r="G5" s="305"/>
      <c r="H5" s="305"/>
      <c r="I5" s="305"/>
      <c r="J5" s="305"/>
      <c r="K5" s="305"/>
      <c r="L5" s="305"/>
      <c r="M5" s="305"/>
      <c r="N5" s="305"/>
      <c r="O5" s="305"/>
      <c r="P5" s="305"/>
      <c r="Q5" s="305"/>
      <c r="R5" s="305"/>
      <c r="S5" s="305"/>
      <c r="T5" s="305"/>
    </row>
    <row r="6" spans="1:20" ht="14.25" customHeight="1">
      <c r="A6" s="305"/>
      <c r="B6" s="306">
        <v>45870</v>
      </c>
      <c r="C6" s="307">
        <v>5350.25</v>
      </c>
      <c r="D6" s="308">
        <f t="shared" ref="D6:D49" si="0">(C6/C7)-1</f>
        <v>-1.7116077759937731E-2</v>
      </c>
      <c r="E6" s="305">
        <v>232.2</v>
      </c>
      <c r="F6" s="308">
        <f t="shared" ref="F6:F49" si="1">(E6/E7)-1</f>
        <v>1.0443864229764843E-2</v>
      </c>
      <c r="G6" s="305"/>
      <c r="H6" s="305"/>
      <c r="I6" s="305"/>
      <c r="J6" s="305"/>
      <c r="K6" s="305"/>
      <c r="L6" s="305"/>
      <c r="M6" s="305"/>
      <c r="N6" s="305"/>
      <c r="O6" s="305"/>
      <c r="P6" s="305"/>
      <c r="Q6" s="305"/>
      <c r="R6" s="305"/>
      <c r="S6" s="305"/>
      <c r="T6" s="305"/>
    </row>
    <row r="7" spans="1:20" ht="14.25" customHeight="1">
      <c r="A7" s="305"/>
      <c r="B7" s="306">
        <v>45839</v>
      </c>
      <c r="C7" s="307">
        <v>5443.42</v>
      </c>
      <c r="D7" s="308">
        <f t="shared" si="0"/>
        <v>0.12504779482431139</v>
      </c>
      <c r="E7" s="309">
        <v>229.8</v>
      </c>
      <c r="F7" s="308">
        <f t="shared" si="1"/>
        <v>0.1000478697941598</v>
      </c>
      <c r="G7" s="305"/>
      <c r="H7" s="305"/>
      <c r="I7" s="305"/>
      <c r="J7" s="305"/>
      <c r="K7" s="305"/>
      <c r="L7" s="305"/>
      <c r="M7" s="305"/>
      <c r="N7" s="305"/>
      <c r="O7" s="305"/>
      <c r="P7" s="305"/>
      <c r="Q7" s="305"/>
      <c r="R7" s="305"/>
      <c r="S7" s="305"/>
      <c r="T7" s="305"/>
    </row>
    <row r="8" spans="1:20" ht="14.25" customHeight="1">
      <c r="A8" s="305"/>
      <c r="B8" s="306">
        <v>45809</v>
      </c>
      <c r="C8" s="307">
        <v>4838.3900000000003</v>
      </c>
      <c r="D8" s="308">
        <f t="shared" si="0"/>
        <v>4.3224117707937992E-2</v>
      </c>
      <c r="E8" s="309">
        <v>208.9</v>
      </c>
      <c r="F8" s="308">
        <f t="shared" si="1"/>
        <v>3.4670629024269539E-2</v>
      </c>
      <c r="G8" s="305"/>
      <c r="H8" s="305"/>
      <c r="I8" s="305"/>
      <c r="J8" s="789" t="s">
        <v>328</v>
      </c>
      <c r="K8" s="790"/>
      <c r="L8" s="305"/>
      <c r="M8" s="305"/>
      <c r="N8" s="305"/>
      <c r="O8" s="305"/>
      <c r="P8" s="305"/>
      <c r="Q8" s="305"/>
      <c r="R8" s="305"/>
      <c r="S8" s="305"/>
      <c r="T8" s="305"/>
    </row>
    <row r="9" spans="1:20" ht="14.25" customHeight="1">
      <c r="A9" s="305"/>
      <c r="B9" s="306">
        <v>45778</v>
      </c>
      <c r="C9" s="307">
        <v>4637.92</v>
      </c>
      <c r="D9" s="308">
        <f t="shared" si="0"/>
        <v>-5.6934639034388557E-2</v>
      </c>
      <c r="E9" s="309">
        <v>201.9</v>
      </c>
      <c r="F9" s="308">
        <f t="shared" si="1"/>
        <v>-5.6982718355908402E-2</v>
      </c>
      <c r="G9" s="305"/>
      <c r="H9" s="305"/>
      <c r="I9" s="305"/>
      <c r="J9" s="305"/>
      <c r="K9" s="305"/>
      <c r="L9" s="305"/>
      <c r="M9" s="305"/>
      <c r="N9" s="305"/>
      <c r="O9" s="305"/>
      <c r="P9" s="305"/>
      <c r="Q9" s="305"/>
      <c r="R9" s="305"/>
      <c r="S9" s="305"/>
      <c r="T9" s="305"/>
    </row>
    <row r="10" spans="1:20" ht="14.25" customHeight="1">
      <c r="A10" s="305"/>
      <c r="B10" s="306">
        <v>45748</v>
      </c>
      <c r="C10" s="307">
        <v>4917.92</v>
      </c>
      <c r="D10" s="308">
        <f t="shared" si="0"/>
        <v>-5.7718100230688463E-2</v>
      </c>
      <c r="E10" s="309">
        <v>214.1</v>
      </c>
      <c r="F10" s="308">
        <f t="shared" si="1"/>
        <v>-2.7260336210813252E-2</v>
      </c>
      <c r="G10" s="305"/>
      <c r="H10" s="305"/>
      <c r="I10" s="305"/>
      <c r="J10" s="791" t="s">
        <v>329</v>
      </c>
      <c r="K10" s="792"/>
      <c r="L10" s="305"/>
      <c r="M10" s="305"/>
      <c r="N10" s="305"/>
      <c r="O10" s="305"/>
      <c r="P10" s="305"/>
      <c r="Q10" s="305"/>
      <c r="R10" s="305"/>
      <c r="S10" s="305"/>
      <c r="T10" s="305"/>
    </row>
    <row r="11" spans="1:20" ht="14.25" customHeight="1">
      <c r="A11" s="305"/>
      <c r="B11" s="306">
        <v>45717</v>
      </c>
      <c r="C11" s="307">
        <v>5219.16</v>
      </c>
      <c r="D11" s="308">
        <f t="shared" si="0"/>
        <v>-5.3627579898234412E-3</v>
      </c>
      <c r="E11" s="309">
        <v>220.1</v>
      </c>
      <c r="F11" s="308">
        <f t="shared" si="1"/>
        <v>1.6628175519630473E-2</v>
      </c>
      <c r="G11" s="305"/>
      <c r="H11" s="305"/>
      <c r="I11" s="305"/>
      <c r="J11" s="311" t="s">
        <v>330</v>
      </c>
      <c r="K11" s="312">
        <v>0.77203139184049308</v>
      </c>
      <c r="L11" s="305"/>
      <c r="M11" s="305"/>
      <c r="N11" s="305"/>
      <c r="O11" s="305"/>
      <c r="P11" s="305"/>
      <c r="Q11" s="305"/>
      <c r="R11" s="305"/>
      <c r="S11" s="305"/>
      <c r="T11" s="305"/>
    </row>
    <row r="12" spans="1:20" ht="14.25" customHeight="1">
      <c r="A12" s="305"/>
      <c r="B12" s="306">
        <v>45689</v>
      </c>
      <c r="C12" s="307">
        <v>5247.3</v>
      </c>
      <c r="D12" s="308">
        <f t="shared" si="0"/>
        <v>2.6286451915742637E-2</v>
      </c>
      <c r="E12" s="309">
        <v>216.5</v>
      </c>
      <c r="F12" s="308">
        <f t="shared" si="1"/>
        <v>-9.2293493308714947E-4</v>
      </c>
      <c r="G12" s="305"/>
      <c r="H12" s="305"/>
      <c r="I12" s="305"/>
      <c r="J12" s="313" t="s">
        <v>331</v>
      </c>
      <c r="K12" s="314">
        <v>0.59603246998716897</v>
      </c>
      <c r="L12" s="305"/>
      <c r="M12" s="305"/>
      <c r="N12" s="305"/>
      <c r="O12" s="305"/>
      <c r="P12" s="305"/>
      <c r="Q12" s="305"/>
      <c r="R12" s="305"/>
      <c r="S12" s="305"/>
      <c r="T12" s="305"/>
    </row>
    <row r="13" spans="1:20" ht="14.25" customHeight="1">
      <c r="A13" s="305"/>
      <c r="B13" s="306">
        <v>45658</v>
      </c>
      <c r="C13" s="307">
        <v>5112.8999999999996</v>
      </c>
      <c r="D13" s="308">
        <f t="shared" si="0"/>
        <v>-1.9848785761937271E-2</v>
      </c>
      <c r="E13" s="309">
        <v>216.7</v>
      </c>
      <c r="F13" s="308">
        <f t="shared" si="1"/>
        <v>-4.5934772622875375E-3</v>
      </c>
      <c r="G13" s="305"/>
      <c r="H13" s="305"/>
      <c r="I13" s="305"/>
      <c r="J13" s="313" t="s">
        <v>332</v>
      </c>
      <c r="K13" s="314">
        <v>0.58641419546305396</v>
      </c>
      <c r="L13" s="305"/>
      <c r="M13" s="305"/>
      <c r="N13" s="305"/>
      <c r="O13" s="305"/>
      <c r="P13" s="305"/>
      <c r="Q13" s="305"/>
      <c r="R13" s="305"/>
      <c r="S13" s="305"/>
      <c r="T13" s="305"/>
    </row>
    <row r="14" spans="1:20" ht="14.25" customHeight="1">
      <c r="A14" s="305"/>
      <c r="B14" s="306">
        <v>45627</v>
      </c>
      <c r="C14" s="307">
        <v>5216.4399999999996</v>
      </c>
      <c r="D14" s="308">
        <f t="shared" si="0"/>
        <v>4.5930836056764512E-3</v>
      </c>
      <c r="E14" s="309">
        <v>217.7</v>
      </c>
      <c r="F14" s="308">
        <f t="shared" si="1"/>
        <v>4.412470023980819E-2</v>
      </c>
      <c r="G14" s="305"/>
      <c r="H14" s="305"/>
      <c r="I14" s="305"/>
      <c r="J14" s="313" t="s">
        <v>333</v>
      </c>
      <c r="K14" s="314">
        <v>1.9132194649509594E-2</v>
      </c>
      <c r="L14" s="305"/>
      <c r="M14" s="305"/>
      <c r="N14" s="305"/>
      <c r="O14" s="305"/>
      <c r="P14" s="305"/>
      <c r="Q14" s="305"/>
      <c r="R14" s="305"/>
      <c r="S14" s="305"/>
      <c r="T14" s="305"/>
    </row>
    <row r="15" spans="1:20" ht="14.25" customHeight="1">
      <c r="A15" s="305"/>
      <c r="B15" s="306">
        <v>45597</v>
      </c>
      <c r="C15" s="307">
        <v>5192.59</v>
      </c>
      <c r="D15" s="308">
        <f t="shared" si="0"/>
        <v>-1.3097665115204826E-3</v>
      </c>
      <c r="E15" s="309">
        <v>208.5</v>
      </c>
      <c r="F15" s="308">
        <f t="shared" si="1"/>
        <v>-4.3139054612207461E-2</v>
      </c>
      <c r="G15" s="305"/>
      <c r="H15" s="305"/>
      <c r="I15" s="305"/>
      <c r="J15" s="315" t="s">
        <v>334</v>
      </c>
      <c r="K15" s="316">
        <v>44</v>
      </c>
      <c r="L15" s="305"/>
      <c r="M15" s="305"/>
      <c r="N15" s="305"/>
      <c r="O15" s="305"/>
      <c r="P15" s="305"/>
      <c r="Q15" s="305"/>
      <c r="R15" s="305"/>
      <c r="S15" s="305"/>
      <c r="T15" s="305"/>
    </row>
    <row r="16" spans="1:20" ht="14.25" customHeight="1">
      <c r="A16" s="305"/>
      <c r="B16" s="306">
        <v>45566</v>
      </c>
      <c r="C16" s="307">
        <v>5199.3999999999996</v>
      </c>
      <c r="D16" s="308">
        <f t="shared" si="0"/>
        <v>-7.5580051560138695E-2</v>
      </c>
      <c r="E16" s="309">
        <v>217.9</v>
      </c>
      <c r="F16" s="308">
        <f t="shared" si="1"/>
        <v>-4.9301919720767806E-2</v>
      </c>
      <c r="G16" s="305"/>
      <c r="H16" s="305"/>
      <c r="I16" s="305"/>
      <c r="J16" s="305"/>
      <c r="K16" s="305"/>
      <c r="L16" s="305"/>
      <c r="M16" s="305"/>
      <c r="N16" s="305"/>
      <c r="O16" s="305"/>
      <c r="P16" s="305"/>
      <c r="Q16" s="305"/>
      <c r="R16" s="305"/>
      <c r="S16" s="305"/>
      <c r="T16" s="305"/>
    </row>
    <row r="17" spans="1:18" ht="14.25" customHeight="1">
      <c r="A17" s="305"/>
      <c r="B17" s="306">
        <v>45536</v>
      </c>
      <c r="C17" s="307">
        <v>5624.5</v>
      </c>
      <c r="D17" s="308">
        <f t="shared" si="0"/>
        <v>-3.0997067751816765E-2</v>
      </c>
      <c r="E17" s="309">
        <v>229.2</v>
      </c>
      <c r="F17" s="308">
        <f t="shared" si="1"/>
        <v>-1.8415417558886538E-2</v>
      </c>
      <c r="G17" s="305"/>
      <c r="H17" s="305"/>
      <c r="I17" s="305"/>
      <c r="J17" s="305" t="s">
        <v>335</v>
      </c>
      <c r="K17" s="305"/>
      <c r="L17" s="305"/>
      <c r="M17" s="305"/>
      <c r="N17" s="305"/>
      <c r="O17" s="305"/>
      <c r="P17" s="305"/>
      <c r="Q17" s="305"/>
      <c r="R17" s="305"/>
    </row>
    <row r="18" spans="1:18" ht="14.25" customHeight="1">
      <c r="A18" s="305"/>
      <c r="B18" s="306">
        <v>45505</v>
      </c>
      <c r="C18" s="307">
        <v>5804.42</v>
      </c>
      <c r="D18" s="308">
        <f t="shared" si="0"/>
        <v>9.9224122095192158E-2</v>
      </c>
      <c r="E18" s="309">
        <v>233.5</v>
      </c>
      <c r="F18" s="308">
        <f t="shared" si="1"/>
        <v>9.6244131455399007E-2</v>
      </c>
      <c r="G18" s="305"/>
      <c r="H18" s="305"/>
      <c r="I18" s="305"/>
      <c r="J18" s="310"/>
      <c r="K18" s="317" t="s">
        <v>336</v>
      </c>
      <c r="L18" s="317" t="s">
        <v>337</v>
      </c>
      <c r="M18" s="317" t="s">
        <v>338</v>
      </c>
      <c r="N18" s="317" t="s">
        <v>339</v>
      </c>
      <c r="O18" s="318" t="s">
        <v>340</v>
      </c>
      <c r="P18" s="305"/>
      <c r="Q18" s="305"/>
      <c r="R18" s="305"/>
    </row>
    <row r="19" spans="1:18" ht="14.25" customHeight="1">
      <c r="A19" s="305"/>
      <c r="B19" s="306">
        <v>45474</v>
      </c>
      <c r="C19" s="307">
        <v>5280.47</v>
      </c>
      <c r="D19" s="308">
        <f t="shared" si="0"/>
        <v>-8.9951955558891239E-3</v>
      </c>
      <c r="E19" s="309">
        <v>213</v>
      </c>
      <c r="F19" s="308">
        <f t="shared" si="1"/>
        <v>9.9573257467993059E-3</v>
      </c>
      <c r="G19" s="305"/>
      <c r="H19" s="305"/>
      <c r="I19" s="305"/>
      <c r="J19" s="313" t="s">
        <v>341</v>
      </c>
      <c r="K19" s="305">
        <v>1</v>
      </c>
      <c r="L19" s="319">
        <v>2.2683096076227025E-2</v>
      </c>
      <c r="M19" s="319">
        <v>2.2683096076227025E-2</v>
      </c>
      <c r="N19" s="320">
        <v>61.968752138732484</v>
      </c>
      <c r="O19" s="321">
        <v>8.4510428543396022E-10</v>
      </c>
      <c r="P19" s="305"/>
      <c r="Q19" s="305"/>
      <c r="R19" s="305"/>
    </row>
    <row r="20" spans="1:18" ht="14.25" customHeight="1">
      <c r="A20" s="305"/>
      <c r="B20" s="306">
        <v>45444</v>
      </c>
      <c r="C20" s="307">
        <v>5328.4</v>
      </c>
      <c r="D20" s="308">
        <f t="shared" si="0"/>
        <v>1.455456629524976E-2</v>
      </c>
      <c r="E20" s="309">
        <v>210.9</v>
      </c>
      <c r="F20" s="308">
        <f t="shared" si="1"/>
        <v>1.1510791366906581E-2</v>
      </c>
      <c r="G20" s="305"/>
      <c r="H20" s="305"/>
      <c r="I20" s="305"/>
      <c r="J20" s="313" t="s">
        <v>342</v>
      </c>
      <c r="K20" s="305">
        <v>42</v>
      </c>
      <c r="L20" s="319">
        <v>1.5373716628482385E-2</v>
      </c>
      <c r="M20" s="319">
        <v>3.6604087210672347E-4</v>
      </c>
      <c r="N20" s="319"/>
      <c r="O20" s="321"/>
      <c r="P20" s="305"/>
      <c r="Q20" s="305"/>
      <c r="R20" s="305"/>
    </row>
    <row r="21" spans="1:18" ht="14.25" customHeight="1">
      <c r="A21" s="305"/>
      <c r="B21" s="306">
        <v>45413</v>
      </c>
      <c r="C21" s="307">
        <v>5251.96</v>
      </c>
      <c r="D21" s="308">
        <f t="shared" si="0"/>
        <v>-5.9572220282381072E-2</v>
      </c>
      <c r="E21" s="309">
        <v>208.5</v>
      </c>
      <c r="F21" s="308">
        <f t="shared" si="1"/>
        <v>-1.1379800853485111E-2</v>
      </c>
      <c r="G21" s="305"/>
      <c r="H21" s="305"/>
      <c r="I21" s="305"/>
      <c r="J21" s="315" t="s">
        <v>343</v>
      </c>
      <c r="K21" s="322">
        <v>43</v>
      </c>
      <c r="L21" s="323">
        <v>3.8056812704709411E-2</v>
      </c>
      <c r="M21" s="323"/>
      <c r="N21" s="323"/>
      <c r="O21" s="316"/>
      <c r="P21" s="305"/>
      <c r="Q21" s="305"/>
      <c r="R21" s="305"/>
    </row>
    <row r="22" spans="1:18" ht="14.25" customHeight="1">
      <c r="A22" s="305"/>
      <c r="B22" s="306">
        <v>45383</v>
      </c>
      <c r="C22" s="307">
        <v>5584.65</v>
      </c>
      <c r="D22" s="308">
        <f t="shared" si="0"/>
        <v>-4.2034753074772335E-2</v>
      </c>
      <c r="E22" s="309">
        <v>210.9</v>
      </c>
      <c r="F22" s="308">
        <f t="shared" si="1"/>
        <v>-3.1235645383555277E-2</v>
      </c>
      <c r="G22" s="305"/>
      <c r="H22" s="305"/>
      <c r="I22" s="305"/>
      <c r="J22" s="305"/>
      <c r="K22" s="305"/>
      <c r="L22" s="305"/>
      <c r="M22" s="305"/>
      <c r="N22" s="305"/>
      <c r="O22" s="305"/>
      <c r="P22" s="305"/>
      <c r="Q22" s="305"/>
      <c r="R22" s="305"/>
    </row>
    <row r="23" spans="1:18" ht="14.25" customHeight="1">
      <c r="A23" s="305"/>
      <c r="B23" s="306">
        <v>45352</v>
      </c>
      <c r="C23" s="307">
        <v>5829.7</v>
      </c>
      <c r="D23" s="308">
        <f t="shared" si="0"/>
        <v>-6.7925059236970342E-2</v>
      </c>
      <c r="E23" s="309">
        <v>217.7</v>
      </c>
      <c r="F23" s="308">
        <f t="shared" si="1"/>
        <v>4.1512915129149341E-3</v>
      </c>
      <c r="G23" s="305"/>
      <c r="H23" s="305"/>
      <c r="I23" s="305"/>
      <c r="J23" s="310"/>
      <c r="K23" s="317" t="s">
        <v>344</v>
      </c>
      <c r="L23" s="317" t="s">
        <v>333</v>
      </c>
      <c r="M23" s="317" t="s">
        <v>345</v>
      </c>
      <c r="N23" s="317" t="s">
        <v>346</v>
      </c>
      <c r="O23" s="317" t="s">
        <v>347</v>
      </c>
      <c r="P23" s="317" t="s">
        <v>348</v>
      </c>
      <c r="Q23" s="317" t="s">
        <v>349</v>
      </c>
      <c r="R23" s="318" t="s">
        <v>350</v>
      </c>
    </row>
    <row r="24" spans="1:18" ht="14.25" customHeight="1">
      <c r="A24" s="305"/>
      <c r="B24" s="306">
        <v>45323</v>
      </c>
      <c r="C24" s="307">
        <v>6254.54</v>
      </c>
      <c r="D24" s="308">
        <f t="shared" si="0"/>
        <v>1.6446352712510492E-2</v>
      </c>
      <c r="E24" s="309">
        <v>216.8</v>
      </c>
      <c r="F24" s="308">
        <f t="shared" si="1"/>
        <v>-5.5045871559632475E-3</v>
      </c>
      <c r="G24" s="305"/>
      <c r="H24" s="305"/>
      <c r="I24" s="305"/>
      <c r="J24" s="313" t="s">
        <v>351</v>
      </c>
      <c r="K24" s="324">
        <v>5.059595922656963E-3</v>
      </c>
      <c r="L24" s="324">
        <v>2.9063268925662083E-3</v>
      </c>
      <c r="M24" s="324">
        <v>1.7408901715764933</v>
      </c>
      <c r="N24" s="324">
        <v>8.9024916179831423E-2</v>
      </c>
      <c r="O24" s="324">
        <v>-8.0560920164009404E-4</v>
      </c>
      <c r="P24" s="324">
        <v>1.092480104695402E-2</v>
      </c>
      <c r="Q24" s="324">
        <v>-8.0560920164009404E-4</v>
      </c>
      <c r="R24" s="325">
        <v>1.092480104695402E-2</v>
      </c>
    </row>
    <row r="25" spans="1:18" ht="14.25" customHeight="1">
      <c r="A25" s="305"/>
      <c r="B25" s="306">
        <v>45292</v>
      </c>
      <c r="C25" s="307">
        <v>6153.34</v>
      </c>
      <c r="D25" s="308">
        <f t="shared" si="0"/>
        <v>-1.4913951813015247E-2</v>
      </c>
      <c r="E25" s="309">
        <v>218</v>
      </c>
      <c r="F25" s="308">
        <f t="shared" si="1"/>
        <v>3.6614360437470239E-2</v>
      </c>
      <c r="G25" s="305"/>
      <c r="H25" s="305"/>
      <c r="I25" s="305"/>
      <c r="J25" s="315" t="s">
        <v>325</v>
      </c>
      <c r="K25" s="326">
        <v>0.6099919868871474</v>
      </c>
      <c r="L25" s="327">
        <v>7.7488589302591504E-2</v>
      </c>
      <c r="M25" s="327">
        <v>7.8720233827607826</v>
      </c>
      <c r="N25" s="327">
        <v>8.4510428543395101E-10</v>
      </c>
      <c r="O25" s="327">
        <v>0.45361368263837432</v>
      </c>
      <c r="P25" s="327">
        <v>0.76637029113592048</v>
      </c>
      <c r="Q25" s="327">
        <v>0.45361368263837432</v>
      </c>
      <c r="R25" s="328">
        <v>0.76637029113592048</v>
      </c>
    </row>
    <row r="26" spans="1:18" ht="14.25" customHeight="1">
      <c r="A26" s="305"/>
      <c r="B26" s="306">
        <v>45261</v>
      </c>
      <c r="C26" s="329">
        <v>6246.5</v>
      </c>
      <c r="D26" s="308">
        <f t="shared" si="0"/>
        <v>3.7714746674850641E-3</v>
      </c>
      <c r="E26" s="309">
        <v>210.3</v>
      </c>
      <c r="F26" s="308">
        <f t="shared" si="1"/>
        <v>2.3832221163011535E-3</v>
      </c>
      <c r="G26" s="305"/>
      <c r="H26" s="305"/>
      <c r="I26" s="305"/>
      <c r="J26" s="305"/>
    </row>
    <row r="27" spans="1:18" ht="14.25" customHeight="1">
      <c r="A27" s="305"/>
      <c r="B27" s="306">
        <v>45231</v>
      </c>
      <c r="C27" s="329">
        <v>6223.03</v>
      </c>
      <c r="D27" s="308">
        <f t="shared" si="0"/>
        <v>-8.9138397834049865E-3</v>
      </c>
      <c r="E27" s="309">
        <v>209.8</v>
      </c>
      <c r="F27" s="308">
        <f t="shared" si="1"/>
        <v>-6.1582188536237759E-3</v>
      </c>
      <c r="G27" s="305"/>
      <c r="H27" s="305"/>
      <c r="I27" s="305"/>
      <c r="J27" s="305"/>
    </row>
    <row r="28" spans="1:18" ht="14.25" customHeight="1">
      <c r="A28" s="305"/>
      <c r="B28" s="306">
        <v>45200</v>
      </c>
      <c r="C28" s="330">
        <v>6279</v>
      </c>
      <c r="D28" s="308">
        <f t="shared" si="0"/>
        <v>-8.9583634995216155E-4</v>
      </c>
      <c r="E28" s="309">
        <v>211.1</v>
      </c>
      <c r="F28" s="308">
        <f t="shared" si="1"/>
        <v>6.1963775023832213E-3</v>
      </c>
      <c r="G28" s="305"/>
      <c r="H28" s="305"/>
      <c r="I28" s="305"/>
      <c r="J28" s="305"/>
    </row>
    <row r="29" spans="1:18" ht="14.25" customHeight="1">
      <c r="A29" s="305"/>
      <c r="B29" s="306">
        <v>45170</v>
      </c>
      <c r="C29" s="329">
        <v>6284.63</v>
      </c>
      <c r="D29" s="308">
        <f t="shared" si="0"/>
        <v>-2.3605048019683661E-3</v>
      </c>
      <c r="E29" s="309">
        <v>209.8</v>
      </c>
      <c r="F29" s="308">
        <f t="shared" si="1"/>
        <v>-6.1582188536237759E-3</v>
      </c>
      <c r="G29" s="305"/>
      <c r="H29" s="305"/>
      <c r="I29" s="305"/>
      <c r="J29" s="305"/>
    </row>
    <row r="30" spans="1:18" ht="14.25" customHeight="1">
      <c r="A30" s="305"/>
      <c r="B30" s="306">
        <v>45139</v>
      </c>
      <c r="C30" s="329">
        <v>6299.5</v>
      </c>
      <c r="D30" s="308">
        <f t="shared" si="0"/>
        <v>-4.0017012368751548E-3</v>
      </c>
      <c r="E30" s="309">
        <v>211.1</v>
      </c>
      <c r="F30" s="308">
        <f t="shared" si="1"/>
        <v>6.1963775023832213E-3</v>
      </c>
      <c r="G30" s="305"/>
      <c r="H30" s="305"/>
      <c r="I30" s="305"/>
      <c r="J30" s="305"/>
    </row>
    <row r="31" spans="1:18" ht="14.25" customHeight="1">
      <c r="A31" s="305"/>
      <c r="B31" s="306">
        <v>45108</v>
      </c>
      <c r="C31" s="329">
        <v>6324.81</v>
      </c>
      <c r="D31" s="308">
        <f t="shared" si="0"/>
        <v>-3.0390489416133315E-3</v>
      </c>
      <c r="E31" s="309">
        <v>209.8</v>
      </c>
      <c r="F31" s="308">
        <f t="shared" si="1"/>
        <v>0</v>
      </c>
      <c r="G31" s="305"/>
      <c r="H31" s="305"/>
      <c r="I31" s="305"/>
      <c r="J31" s="305"/>
    </row>
    <row r="32" spans="1:18" ht="14.25" customHeight="1">
      <c r="A32" s="305"/>
      <c r="B32" s="306">
        <v>45078</v>
      </c>
      <c r="C32" s="329">
        <v>6344.09</v>
      </c>
      <c r="D32" s="308">
        <f t="shared" si="0"/>
        <v>6.8614801237920631E-4</v>
      </c>
      <c r="E32" s="309">
        <v>209.8</v>
      </c>
      <c r="F32" s="308">
        <f t="shared" si="1"/>
        <v>0</v>
      </c>
      <c r="G32" s="305"/>
      <c r="H32" s="305"/>
      <c r="I32" s="305"/>
      <c r="J32" s="305"/>
    </row>
    <row r="33" spans="1:20" ht="14.25" customHeight="1">
      <c r="A33" s="305"/>
      <c r="B33" s="306">
        <v>45047</v>
      </c>
      <c r="C33" s="329">
        <v>6339.74</v>
      </c>
      <c r="D33" s="308">
        <f t="shared" si="0"/>
        <v>1.2303019948296967E-2</v>
      </c>
      <c r="E33" s="309">
        <v>209.8</v>
      </c>
      <c r="F33" s="308">
        <f t="shared" si="1"/>
        <v>0</v>
      </c>
      <c r="G33" s="305"/>
      <c r="H33" s="305"/>
      <c r="I33" s="305"/>
      <c r="J33" s="305"/>
    </row>
    <row r="34" spans="1:20" ht="14.25" customHeight="1">
      <c r="A34" s="305"/>
      <c r="B34" s="306">
        <v>45017</v>
      </c>
      <c r="C34" s="329">
        <v>6262.69</v>
      </c>
      <c r="D34" s="308">
        <f t="shared" si="0"/>
        <v>9.0046400721788267E-3</v>
      </c>
      <c r="E34" s="309">
        <v>209.8</v>
      </c>
      <c r="F34" s="308">
        <f t="shared" si="1"/>
        <v>0</v>
      </c>
      <c r="G34" s="305"/>
      <c r="H34" s="305"/>
      <c r="I34" s="305"/>
      <c r="J34" s="305"/>
    </row>
    <row r="35" spans="1:20" ht="14.25" customHeight="1">
      <c r="A35" s="305"/>
      <c r="B35" s="306">
        <v>44986</v>
      </c>
      <c r="C35" s="329">
        <v>6206.8</v>
      </c>
      <c r="D35" s="308">
        <f t="shared" si="0"/>
        <v>-1.6326333652353364E-3</v>
      </c>
      <c r="E35" s="309">
        <v>209.8</v>
      </c>
      <c r="F35" s="308">
        <f t="shared" si="1"/>
        <v>0</v>
      </c>
      <c r="G35" s="305"/>
      <c r="H35" s="305"/>
      <c r="I35" s="305"/>
      <c r="J35" s="305"/>
      <c r="K35" s="305"/>
      <c r="L35" s="305"/>
      <c r="M35" s="305"/>
      <c r="N35" s="305"/>
      <c r="O35" s="305"/>
      <c r="P35" s="305"/>
      <c r="Q35" s="305"/>
      <c r="R35" s="305"/>
      <c r="S35" s="305"/>
      <c r="T35" s="305"/>
    </row>
    <row r="36" spans="1:20" ht="14.25" customHeight="1">
      <c r="A36" s="305"/>
      <c r="B36" s="306">
        <v>44958</v>
      </c>
      <c r="C36" s="329">
        <v>6216.95</v>
      </c>
      <c r="D36" s="308">
        <f t="shared" si="0"/>
        <v>-7.994191844647891E-3</v>
      </c>
      <c r="E36" s="309">
        <v>209.8</v>
      </c>
      <c r="F36" s="308">
        <f t="shared" si="1"/>
        <v>0</v>
      </c>
      <c r="G36" s="305"/>
      <c r="H36" s="305"/>
      <c r="I36" s="305"/>
      <c r="J36" s="305"/>
      <c r="K36" s="305"/>
      <c r="L36" s="305"/>
      <c r="M36" s="305"/>
      <c r="N36" s="305"/>
      <c r="O36" s="305"/>
      <c r="P36" s="305"/>
      <c r="Q36" s="305"/>
      <c r="R36" s="305"/>
      <c r="S36" s="305"/>
      <c r="T36" s="305"/>
    </row>
    <row r="37" spans="1:20" ht="14.25" customHeight="1">
      <c r="A37" s="305"/>
      <c r="B37" s="306">
        <v>44927</v>
      </c>
      <c r="C37" s="329">
        <v>6267.05</v>
      </c>
      <c r="D37" s="308">
        <f t="shared" si="0"/>
        <v>9.7054686707018778E-3</v>
      </c>
      <c r="E37" s="309">
        <v>209.8</v>
      </c>
      <c r="F37" s="308">
        <f t="shared" si="1"/>
        <v>0</v>
      </c>
      <c r="G37" s="305"/>
      <c r="H37" s="305"/>
      <c r="I37" s="305"/>
      <c r="J37" s="305"/>
      <c r="K37" s="305"/>
      <c r="L37" s="305"/>
      <c r="M37" s="305"/>
      <c r="N37" s="305"/>
      <c r="O37" s="305"/>
      <c r="P37" s="305"/>
      <c r="Q37" s="305"/>
      <c r="R37" s="305"/>
      <c r="S37" s="305"/>
      <c r="T37" s="305"/>
    </row>
    <row r="38" spans="1:20" ht="14.25" customHeight="1">
      <c r="A38" s="305"/>
      <c r="B38" s="306">
        <v>44896</v>
      </c>
      <c r="C38" s="329">
        <v>6206.81</v>
      </c>
      <c r="D38" s="308">
        <f t="shared" si="0"/>
        <v>-4.6729046897424631E-3</v>
      </c>
      <c r="E38" s="309">
        <v>209.8</v>
      </c>
      <c r="F38" s="308">
        <f t="shared" si="1"/>
        <v>0</v>
      </c>
      <c r="G38" s="305"/>
      <c r="H38" s="305"/>
      <c r="I38" s="305"/>
      <c r="J38" s="305"/>
      <c r="K38" s="305"/>
      <c r="L38" s="305"/>
      <c r="M38" s="305"/>
      <c r="N38" s="305"/>
      <c r="O38" s="305"/>
      <c r="P38" s="305"/>
      <c r="Q38" s="305"/>
      <c r="R38" s="305"/>
      <c r="S38" s="305"/>
      <c r="T38" s="305"/>
    </row>
    <row r="39" spans="1:20" ht="14.25" customHeight="1">
      <c r="A39" s="305"/>
      <c r="B39" s="306">
        <v>44866</v>
      </c>
      <c r="C39" s="329">
        <v>6235.95</v>
      </c>
      <c r="D39" s="308">
        <f t="shared" si="0"/>
        <v>-1.1318559012198581E-2</v>
      </c>
      <c r="E39" s="309">
        <v>209.8</v>
      </c>
      <c r="F39" s="308">
        <f t="shared" si="1"/>
        <v>0</v>
      </c>
      <c r="G39" s="305"/>
      <c r="H39" s="305"/>
      <c r="I39" s="305"/>
      <c r="J39" s="305"/>
      <c r="K39" s="305"/>
      <c r="L39" s="305"/>
      <c r="M39" s="305"/>
      <c r="N39" s="305"/>
      <c r="O39" s="305"/>
      <c r="P39" s="305"/>
      <c r="Q39" s="305"/>
      <c r="R39" s="305"/>
      <c r="S39" s="305"/>
      <c r="T39" s="305"/>
    </row>
    <row r="40" spans="1:20" ht="14.25" customHeight="1">
      <c r="A40" s="305"/>
      <c r="B40" s="306">
        <v>44835</v>
      </c>
      <c r="C40" s="329">
        <v>6307.34</v>
      </c>
      <c r="D40" s="308">
        <f t="shared" si="0"/>
        <v>-3.1890482278887022E-2</v>
      </c>
      <c r="E40" s="309">
        <v>209.8</v>
      </c>
      <c r="F40" s="308">
        <f t="shared" si="1"/>
        <v>0</v>
      </c>
      <c r="G40" s="305"/>
      <c r="H40" s="305"/>
      <c r="I40" s="305"/>
      <c r="J40" s="305"/>
      <c r="K40" s="305"/>
      <c r="L40" s="305"/>
      <c r="M40" s="305"/>
      <c r="N40" s="305"/>
      <c r="O40" s="305"/>
      <c r="P40" s="305"/>
      <c r="Q40" s="305"/>
      <c r="R40" s="305"/>
      <c r="S40" s="305"/>
      <c r="T40" s="305"/>
    </row>
    <row r="41" spans="1:20" ht="14.25" customHeight="1">
      <c r="A41" s="305"/>
      <c r="B41" s="306">
        <v>44805</v>
      </c>
      <c r="C41" s="329">
        <v>6515.11</v>
      </c>
      <c r="D41" s="308">
        <f t="shared" si="0"/>
        <v>8.9651583808512125E-3</v>
      </c>
      <c r="E41" s="309">
        <v>209.8</v>
      </c>
      <c r="F41" s="308">
        <f t="shared" si="1"/>
        <v>-6.1582188536237759E-3</v>
      </c>
      <c r="G41" s="305"/>
      <c r="H41" s="305"/>
      <c r="I41" s="305"/>
      <c r="J41" s="305"/>
      <c r="K41" s="305"/>
      <c r="L41" s="305"/>
      <c r="M41" s="305"/>
      <c r="N41" s="305"/>
      <c r="O41" s="305"/>
      <c r="P41" s="305"/>
      <c r="Q41" s="305"/>
      <c r="R41" s="305"/>
      <c r="S41" s="305"/>
      <c r="T41" s="305"/>
    </row>
    <row r="42" spans="1:20" ht="14.25" customHeight="1">
      <c r="A42" s="305"/>
      <c r="B42" s="331">
        <v>44774</v>
      </c>
      <c r="C42" s="329">
        <v>6457.22</v>
      </c>
      <c r="D42" s="308">
        <f t="shared" si="0"/>
        <v>5.2700050212260985E-2</v>
      </c>
      <c r="E42" s="309">
        <v>211.1</v>
      </c>
      <c r="F42" s="308">
        <f t="shared" si="1"/>
        <v>-1.891252955082745E-3</v>
      </c>
      <c r="G42" s="305"/>
      <c r="H42" s="305"/>
      <c r="I42" s="305"/>
      <c r="J42" s="305"/>
      <c r="K42" s="305"/>
      <c r="L42" s="305"/>
      <c r="M42" s="305"/>
      <c r="N42" s="305"/>
      <c r="O42" s="305"/>
      <c r="P42" s="305"/>
      <c r="Q42" s="305"/>
      <c r="R42" s="305"/>
      <c r="S42" s="305"/>
      <c r="T42" s="305"/>
    </row>
    <row r="43" spans="1:20" ht="14.25" customHeight="1">
      <c r="A43" s="305"/>
      <c r="B43" s="331">
        <v>44743</v>
      </c>
      <c r="C43" s="329">
        <v>6133.96</v>
      </c>
      <c r="D43" s="308">
        <f t="shared" si="0"/>
        <v>-3.810291456403847E-2</v>
      </c>
      <c r="E43" s="309">
        <v>211.5</v>
      </c>
      <c r="F43" s="308">
        <f t="shared" si="1"/>
        <v>-2.3996308260267551E-2</v>
      </c>
      <c r="G43" s="305"/>
      <c r="H43" s="305"/>
      <c r="I43" s="305"/>
      <c r="J43" s="305"/>
      <c r="K43" s="305"/>
      <c r="L43" s="305"/>
      <c r="M43" s="305"/>
      <c r="N43" s="305"/>
      <c r="O43" s="305"/>
      <c r="P43" s="305"/>
      <c r="Q43" s="305"/>
      <c r="R43" s="305"/>
      <c r="S43" s="305"/>
      <c r="T43" s="305"/>
    </row>
    <row r="44" spans="1:20" ht="14.25" customHeight="1">
      <c r="A44" s="305"/>
      <c r="B44" s="331">
        <v>44713</v>
      </c>
      <c r="C44" s="329">
        <v>6376.94</v>
      </c>
      <c r="D44" s="308">
        <f t="shared" si="0"/>
        <v>-2.4887178644893426E-3</v>
      </c>
      <c r="E44" s="309">
        <v>216.7</v>
      </c>
      <c r="F44" s="308">
        <f t="shared" si="1"/>
        <v>2.7764923646460549E-3</v>
      </c>
      <c r="G44" s="305"/>
      <c r="H44" s="305"/>
      <c r="I44" s="305"/>
      <c r="J44" s="305"/>
      <c r="K44" s="305"/>
      <c r="L44" s="305"/>
      <c r="M44" s="305"/>
      <c r="N44" s="305"/>
      <c r="O44" s="305"/>
      <c r="P44" s="305"/>
      <c r="Q44" s="305"/>
      <c r="R44" s="305"/>
      <c r="S44" s="305"/>
      <c r="T44" s="305"/>
    </row>
    <row r="45" spans="1:20" ht="14.25" customHeight="1">
      <c r="A45" s="305"/>
      <c r="B45" s="331">
        <v>44682</v>
      </c>
      <c r="C45" s="329">
        <v>6392.85</v>
      </c>
      <c r="D45" s="308">
        <f t="shared" si="0"/>
        <v>-3.9486692529365874E-2</v>
      </c>
      <c r="E45" s="309">
        <v>216.1</v>
      </c>
      <c r="F45" s="308">
        <f t="shared" si="1"/>
        <v>-4.1685144124168572E-2</v>
      </c>
      <c r="G45" s="305"/>
      <c r="H45" s="305"/>
      <c r="I45" s="305"/>
      <c r="J45" s="305"/>
      <c r="K45" s="305"/>
      <c r="L45" s="305"/>
      <c r="M45" s="305"/>
      <c r="N45" s="305"/>
      <c r="O45" s="305"/>
      <c r="P45" s="305"/>
      <c r="Q45" s="305"/>
      <c r="R45" s="305"/>
      <c r="S45" s="305"/>
      <c r="T45" s="305"/>
    </row>
    <row r="46" spans="1:20" ht="14.25" customHeight="1">
      <c r="A46" s="305"/>
      <c r="B46" s="331">
        <v>44652</v>
      </c>
      <c r="C46" s="329">
        <v>6655.66</v>
      </c>
      <c r="D46" s="308">
        <f t="shared" si="0"/>
        <v>-1.5118758536394106E-2</v>
      </c>
      <c r="E46" s="309">
        <v>225.5</v>
      </c>
      <c r="F46" s="308">
        <f t="shared" si="1"/>
        <v>2.8271773825809365E-2</v>
      </c>
      <c r="G46" s="305"/>
      <c r="H46" s="305"/>
      <c r="I46" s="305"/>
      <c r="J46" s="305"/>
      <c r="K46" s="305"/>
      <c r="L46" s="305"/>
      <c r="M46" s="305"/>
      <c r="N46" s="305"/>
      <c r="O46" s="305"/>
      <c r="P46" s="305"/>
      <c r="Q46" s="305"/>
      <c r="R46" s="305"/>
      <c r="S46" s="305"/>
      <c r="T46" s="305"/>
    </row>
    <row r="47" spans="1:20" ht="14.25" customHeight="1">
      <c r="A47" s="305"/>
      <c r="B47" s="331">
        <v>44621</v>
      </c>
      <c r="C47" s="329">
        <v>6757.83</v>
      </c>
      <c r="D47" s="308">
        <f t="shared" si="0"/>
        <v>2.7287133649087636E-3</v>
      </c>
      <c r="E47" s="309">
        <v>219.3</v>
      </c>
      <c r="F47" s="308">
        <f t="shared" si="1"/>
        <v>9.128251939753973E-4</v>
      </c>
      <c r="G47" s="305"/>
      <c r="H47" s="305"/>
      <c r="I47" s="305"/>
      <c r="J47" s="305"/>
      <c r="K47" s="305"/>
      <c r="L47" s="305"/>
      <c r="M47" s="305"/>
      <c r="N47" s="305"/>
      <c r="O47" s="305"/>
      <c r="P47" s="305"/>
      <c r="Q47" s="305"/>
      <c r="R47" s="305"/>
      <c r="S47" s="305"/>
      <c r="T47" s="305"/>
    </row>
    <row r="48" spans="1:20" ht="14.25" customHeight="1">
      <c r="A48" s="305"/>
      <c r="B48" s="331">
        <v>44593</v>
      </c>
      <c r="C48" s="329">
        <v>6739.44</v>
      </c>
      <c r="D48" s="308">
        <f t="shared" si="0"/>
        <v>-2.6976924154200943E-2</v>
      </c>
      <c r="E48" s="309">
        <v>219.1</v>
      </c>
      <c r="F48" s="308">
        <f t="shared" si="1"/>
        <v>-4.9954586739328066E-3</v>
      </c>
      <c r="G48" s="305"/>
      <c r="H48" s="305"/>
      <c r="I48" s="305"/>
      <c r="J48" s="305"/>
      <c r="K48" s="305"/>
      <c r="L48" s="305"/>
      <c r="M48" s="305"/>
      <c r="N48" s="305"/>
      <c r="O48" s="305"/>
      <c r="P48" s="305"/>
      <c r="Q48" s="305"/>
      <c r="R48" s="305"/>
      <c r="S48" s="305"/>
      <c r="T48" s="305"/>
    </row>
    <row r="49" spans="1:20" ht="14.25" customHeight="1">
      <c r="A49" s="305"/>
      <c r="B49" s="331">
        <v>44562</v>
      </c>
      <c r="C49" s="329">
        <v>6926.29</v>
      </c>
      <c r="D49" s="308">
        <f t="shared" si="0"/>
        <v>2.5107116692443698E-2</v>
      </c>
      <c r="E49" s="309">
        <v>220.2</v>
      </c>
      <c r="F49" s="308">
        <f t="shared" si="1"/>
        <v>2.7531497900139978E-2</v>
      </c>
      <c r="G49" s="305"/>
      <c r="H49" s="305"/>
      <c r="I49" s="305"/>
      <c r="J49" s="305"/>
      <c r="K49" s="2"/>
      <c r="L49" s="305"/>
      <c r="M49" s="305"/>
      <c r="N49" s="305"/>
      <c r="O49" s="305"/>
      <c r="P49" s="305"/>
      <c r="Q49" s="305"/>
      <c r="R49" s="305"/>
      <c r="S49" s="305"/>
      <c r="T49" s="305"/>
    </row>
    <row r="50" spans="1:20" ht="14.25" customHeight="1">
      <c r="A50" s="305"/>
      <c r="B50" s="331">
        <v>44531</v>
      </c>
      <c r="C50" s="329">
        <v>6756.65</v>
      </c>
      <c r="D50" s="308" t="e">
        <f>(C50/#REF!)-1</f>
        <v>#REF!</v>
      </c>
      <c r="E50" s="309">
        <v>214.3</v>
      </c>
      <c r="F50" s="308" t="e">
        <f>(E50/#REF!)-1</f>
        <v>#REF!</v>
      </c>
      <c r="G50" s="305"/>
      <c r="H50" s="305"/>
      <c r="I50" s="305"/>
      <c r="J50" s="305"/>
      <c r="K50" s="305"/>
      <c r="L50" s="305"/>
      <c r="M50" s="305"/>
      <c r="N50" s="305"/>
      <c r="O50" s="305"/>
      <c r="P50" s="305"/>
      <c r="Q50" s="305"/>
      <c r="R50" s="305"/>
      <c r="S50" s="305"/>
      <c r="T50" s="305"/>
    </row>
    <row r="51" spans="1:20" ht="14.25" customHeight="1">
      <c r="A51" s="305"/>
      <c r="B51" s="305"/>
      <c r="C51" s="305"/>
      <c r="D51" s="305"/>
      <c r="E51" s="305"/>
      <c r="F51" s="305"/>
      <c r="G51" s="305"/>
      <c r="H51" s="305"/>
      <c r="I51" s="305"/>
      <c r="J51" s="305"/>
      <c r="K51" s="305"/>
      <c r="L51" s="305"/>
      <c r="M51" s="305"/>
      <c r="N51" s="305"/>
      <c r="O51" s="305"/>
      <c r="P51" s="305"/>
      <c r="Q51" s="305"/>
      <c r="R51" s="305"/>
      <c r="S51" s="305"/>
      <c r="T51" s="305"/>
    </row>
    <row r="52" spans="1:20" ht="14.25" customHeight="1">
      <c r="B52" s="2"/>
    </row>
    <row r="53" spans="1:20" ht="14.25" customHeight="1"/>
    <row r="54" spans="1:20" ht="14.25" customHeight="1"/>
    <row r="55" spans="1:20" ht="14.25" customHeight="1"/>
    <row r="56" spans="1:20" ht="14.25" customHeight="1"/>
    <row r="57" spans="1:20" ht="14.25" customHeight="1"/>
    <row r="58" spans="1:20" ht="14.25" customHeight="1"/>
    <row r="59" spans="1:20" ht="14.25" customHeight="1"/>
    <row r="60" spans="1:20" ht="14.25" customHeight="1"/>
    <row r="61" spans="1:20" ht="14.25" customHeight="1"/>
    <row r="62" spans="1:20" ht="14.25" customHeight="1"/>
    <row r="63" spans="1:20" ht="14.25" customHeight="1"/>
    <row r="64" spans="1:20"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J8:K8"/>
    <mergeCell ref="J10:K10"/>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H51"/>
  <sheetViews>
    <sheetView topLeftCell="A30" workbookViewId="0">
      <selection activeCell="F54" sqref="F54"/>
    </sheetView>
  </sheetViews>
  <sheetFormatPr defaultColWidth="14.44140625" defaultRowHeight="15" customHeight="1"/>
  <cols>
    <col min="5" max="5" width="17.6640625" customWidth="1"/>
    <col min="7" max="7" width="22.5546875" customWidth="1"/>
    <col min="8" max="8" width="25.33203125" customWidth="1"/>
  </cols>
  <sheetData>
    <row r="2" spans="1:6" ht="15.6">
      <c r="A2" s="537" t="s">
        <v>323</v>
      </c>
      <c r="B2" s="537" t="s">
        <v>324</v>
      </c>
      <c r="C2" s="537" t="s">
        <v>325</v>
      </c>
      <c r="D2" s="537" t="s">
        <v>326</v>
      </c>
      <c r="E2" s="537" t="s">
        <v>327</v>
      </c>
      <c r="F2" s="538" t="s">
        <v>352</v>
      </c>
    </row>
    <row r="3" spans="1:6" ht="14.4">
      <c r="A3" s="306">
        <v>45870</v>
      </c>
      <c r="B3" s="307">
        <v>5350.25</v>
      </c>
      <c r="C3" s="308">
        <f t="shared" ref="C3:C46" si="0">(B3/B4)-1</f>
        <v>-1.7116077759937731E-2</v>
      </c>
      <c r="D3" s="305">
        <v>232.2</v>
      </c>
      <c r="E3" s="308">
        <f t="shared" ref="E3:E46" si="1">(D3/D4)-1</f>
        <v>1.0443864229764843E-2</v>
      </c>
      <c r="F3" s="332">
        <f t="shared" ref="F3:F47" si="2">E3-C3</f>
        <v>2.7559941989702574E-2</v>
      </c>
    </row>
    <row r="4" spans="1:6" ht="14.4">
      <c r="A4" s="306">
        <v>45839</v>
      </c>
      <c r="B4" s="307">
        <v>5443.42</v>
      </c>
      <c r="C4" s="308">
        <f t="shared" si="0"/>
        <v>0.12504779482431139</v>
      </c>
      <c r="D4" s="309">
        <v>229.8</v>
      </c>
      <c r="E4" s="308">
        <f t="shared" si="1"/>
        <v>0.1000478697941598</v>
      </c>
      <c r="F4" s="332">
        <f t="shared" si="2"/>
        <v>-2.4999925030151582E-2</v>
      </c>
    </row>
    <row r="5" spans="1:6" ht="14.4">
      <c r="A5" s="306">
        <v>45809</v>
      </c>
      <c r="B5" s="307">
        <v>4838.3900000000003</v>
      </c>
      <c r="C5" s="308">
        <f t="shared" si="0"/>
        <v>4.3224117707937992E-2</v>
      </c>
      <c r="D5" s="309">
        <v>208.9</v>
      </c>
      <c r="E5" s="308">
        <f t="shared" si="1"/>
        <v>3.4670629024269539E-2</v>
      </c>
      <c r="F5" s="332">
        <f t="shared" si="2"/>
        <v>-8.5534886836684532E-3</v>
      </c>
    </row>
    <row r="6" spans="1:6" ht="14.4">
      <c r="A6" s="306">
        <v>45778</v>
      </c>
      <c r="B6" s="307">
        <v>4637.92</v>
      </c>
      <c r="C6" s="308">
        <f t="shared" si="0"/>
        <v>-5.6934639034388557E-2</v>
      </c>
      <c r="D6" s="309">
        <v>201.9</v>
      </c>
      <c r="E6" s="308">
        <f t="shared" si="1"/>
        <v>-5.6982718355908402E-2</v>
      </c>
      <c r="F6" s="332">
        <f t="shared" si="2"/>
        <v>-4.8079321519844953E-5</v>
      </c>
    </row>
    <row r="7" spans="1:6" ht="14.4">
      <c r="A7" s="306">
        <v>45748</v>
      </c>
      <c r="B7" s="307">
        <v>4917.92</v>
      </c>
      <c r="C7" s="308">
        <f t="shared" si="0"/>
        <v>-5.7718100230688463E-2</v>
      </c>
      <c r="D7" s="309">
        <v>214.1</v>
      </c>
      <c r="E7" s="308">
        <f t="shared" si="1"/>
        <v>-2.7260336210813252E-2</v>
      </c>
      <c r="F7" s="332">
        <f t="shared" si="2"/>
        <v>3.0457764019875211E-2</v>
      </c>
    </row>
    <row r="8" spans="1:6" ht="14.4">
      <c r="A8" s="306">
        <v>45717</v>
      </c>
      <c r="B8" s="307">
        <v>5219.16</v>
      </c>
      <c r="C8" s="308">
        <f t="shared" si="0"/>
        <v>-5.3627579898234412E-3</v>
      </c>
      <c r="D8" s="309">
        <v>220.1</v>
      </c>
      <c r="E8" s="308">
        <f t="shared" si="1"/>
        <v>1.6628175519630473E-2</v>
      </c>
      <c r="F8" s="332">
        <f t="shared" si="2"/>
        <v>2.1990933509453914E-2</v>
      </c>
    </row>
    <row r="9" spans="1:6" ht="14.4">
      <c r="A9" s="306">
        <v>45689</v>
      </c>
      <c r="B9" s="307">
        <v>5247.3</v>
      </c>
      <c r="C9" s="308">
        <f t="shared" si="0"/>
        <v>2.6286451915742637E-2</v>
      </c>
      <c r="D9" s="309">
        <v>216.5</v>
      </c>
      <c r="E9" s="308">
        <f t="shared" si="1"/>
        <v>-9.2293493308714947E-4</v>
      </c>
      <c r="F9" s="332">
        <f t="shared" si="2"/>
        <v>-2.7209386848829786E-2</v>
      </c>
    </row>
    <row r="10" spans="1:6" ht="14.4">
      <c r="A10" s="306">
        <v>45658</v>
      </c>
      <c r="B10" s="307">
        <v>5112.8999999999996</v>
      </c>
      <c r="C10" s="308">
        <f t="shared" si="0"/>
        <v>-1.9848785761937271E-2</v>
      </c>
      <c r="D10" s="309">
        <v>216.7</v>
      </c>
      <c r="E10" s="308">
        <f t="shared" si="1"/>
        <v>-4.5934772622875375E-3</v>
      </c>
      <c r="F10" s="332">
        <f t="shared" si="2"/>
        <v>1.5255308499649733E-2</v>
      </c>
    </row>
    <row r="11" spans="1:6" ht="14.4">
      <c r="A11" s="306">
        <v>45627</v>
      </c>
      <c r="B11" s="307">
        <v>5216.4399999999996</v>
      </c>
      <c r="C11" s="308">
        <f t="shared" si="0"/>
        <v>4.5930836056764512E-3</v>
      </c>
      <c r="D11" s="309">
        <v>217.7</v>
      </c>
      <c r="E11" s="308">
        <f t="shared" si="1"/>
        <v>4.412470023980819E-2</v>
      </c>
      <c r="F11" s="332">
        <f t="shared" si="2"/>
        <v>3.9531616634131739E-2</v>
      </c>
    </row>
    <row r="12" spans="1:6" ht="14.4">
      <c r="A12" s="306">
        <v>45597</v>
      </c>
      <c r="B12" s="307">
        <v>5192.59</v>
      </c>
      <c r="C12" s="308">
        <f t="shared" si="0"/>
        <v>-1.3097665115204826E-3</v>
      </c>
      <c r="D12" s="309">
        <v>208.5</v>
      </c>
      <c r="E12" s="308">
        <f t="shared" si="1"/>
        <v>-4.3139054612207461E-2</v>
      </c>
      <c r="F12" s="332">
        <f t="shared" si="2"/>
        <v>-4.1829288100686979E-2</v>
      </c>
    </row>
    <row r="13" spans="1:6" ht="14.4">
      <c r="A13" s="306">
        <v>45566</v>
      </c>
      <c r="B13" s="307">
        <v>5199.3999999999996</v>
      </c>
      <c r="C13" s="308">
        <f t="shared" si="0"/>
        <v>-7.5580051560138695E-2</v>
      </c>
      <c r="D13" s="309">
        <v>217.9</v>
      </c>
      <c r="E13" s="308">
        <f t="shared" si="1"/>
        <v>-4.9301919720767806E-2</v>
      </c>
      <c r="F13" s="332">
        <f t="shared" si="2"/>
        <v>2.6278131839370888E-2</v>
      </c>
    </row>
    <row r="14" spans="1:6" ht="14.4">
      <c r="A14" s="306">
        <v>45536</v>
      </c>
      <c r="B14" s="307">
        <v>5624.5</v>
      </c>
      <c r="C14" s="308">
        <f t="shared" si="0"/>
        <v>-3.0997067751816765E-2</v>
      </c>
      <c r="D14" s="309">
        <v>229.2</v>
      </c>
      <c r="E14" s="308">
        <f t="shared" si="1"/>
        <v>-1.8415417558886538E-2</v>
      </c>
      <c r="F14" s="332">
        <f t="shared" si="2"/>
        <v>1.2581650192930227E-2</v>
      </c>
    </row>
    <row r="15" spans="1:6" ht="14.4">
      <c r="A15" s="306">
        <v>45505</v>
      </c>
      <c r="B15" s="307">
        <v>5804.42</v>
      </c>
      <c r="C15" s="308">
        <f t="shared" si="0"/>
        <v>9.9224122095192158E-2</v>
      </c>
      <c r="D15" s="309">
        <v>233.5</v>
      </c>
      <c r="E15" s="308">
        <f t="shared" si="1"/>
        <v>9.6244131455399007E-2</v>
      </c>
      <c r="F15" s="332">
        <f t="shared" si="2"/>
        <v>-2.9799906397931508E-3</v>
      </c>
    </row>
    <row r="16" spans="1:6" ht="14.4">
      <c r="A16" s="306">
        <v>45474</v>
      </c>
      <c r="B16" s="307">
        <v>5280.47</v>
      </c>
      <c r="C16" s="308">
        <f t="shared" si="0"/>
        <v>-8.9951955558891239E-3</v>
      </c>
      <c r="D16" s="309">
        <v>213</v>
      </c>
      <c r="E16" s="308">
        <f t="shared" si="1"/>
        <v>9.9573257467993059E-3</v>
      </c>
      <c r="F16" s="332">
        <f t="shared" si="2"/>
        <v>1.895252130268843E-2</v>
      </c>
    </row>
    <row r="17" spans="1:6" ht="14.4">
      <c r="A17" s="306">
        <v>45444</v>
      </c>
      <c r="B17" s="307">
        <v>5328.4</v>
      </c>
      <c r="C17" s="308">
        <f t="shared" si="0"/>
        <v>1.455456629524976E-2</v>
      </c>
      <c r="D17" s="309">
        <v>210.9</v>
      </c>
      <c r="E17" s="308">
        <f t="shared" si="1"/>
        <v>1.1510791366906581E-2</v>
      </c>
      <c r="F17" s="332">
        <f t="shared" si="2"/>
        <v>-3.0437749283431792E-3</v>
      </c>
    </row>
    <row r="18" spans="1:6" ht="14.4">
      <c r="A18" s="306">
        <v>45413</v>
      </c>
      <c r="B18" s="307">
        <v>5251.96</v>
      </c>
      <c r="C18" s="308">
        <f t="shared" si="0"/>
        <v>-5.9572220282381072E-2</v>
      </c>
      <c r="D18" s="309">
        <v>208.5</v>
      </c>
      <c r="E18" s="308">
        <f t="shared" si="1"/>
        <v>-1.1379800853485111E-2</v>
      </c>
      <c r="F18" s="332">
        <f t="shared" si="2"/>
        <v>4.8192419428895961E-2</v>
      </c>
    </row>
    <row r="19" spans="1:6" ht="14.4">
      <c r="A19" s="306">
        <v>45383</v>
      </c>
      <c r="B19" s="307">
        <v>5584.65</v>
      </c>
      <c r="C19" s="308">
        <f t="shared" si="0"/>
        <v>-4.2034753074772335E-2</v>
      </c>
      <c r="D19" s="309">
        <v>210.9</v>
      </c>
      <c r="E19" s="308">
        <f t="shared" si="1"/>
        <v>-3.1235645383555277E-2</v>
      </c>
      <c r="F19" s="332">
        <f t="shared" si="2"/>
        <v>1.0799107691217058E-2</v>
      </c>
    </row>
    <row r="20" spans="1:6" ht="14.4">
      <c r="A20" s="306">
        <v>45352</v>
      </c>
      <c r="B20" s="307">
        <v>5829.7</v>
      </c>
      <c r="C20" s="308">
        <f t="shared" si="0"/>
        <v>-6.7925059236970342E-2</v>
      </c>
      <c r="D20" s="309">
        <v>217.7</v>
      </c>
      <c r="E20" s="308">
        <f t="shared" si="1"/>
        <v>4.1512915129149341E-3</v>
      </c>
      <c r="F20" s="332">
        <f t="shared" si="2"/>
        <v>7.2076350749885276E-2</v>
      </c>
    </row>
    <row r="21" spans="1:6" ht="14.4">
      <c r="A21" s="306">
        <v>45323</v>
      </c>
      <c r="B21" s="307">
        <v>6254.54</v>
      </c>
      <c r="C21" s="308">
        <f t="shared" si="0"/>
        <v>1.6446352712510492E-2</v>
      </c>
      <c r="D21" s="309">
        <v>216.8</v>
      </c>
      <c r="E21" s="308">
        <f t="shared" si="1"/>
        <v>-5.5045871559632475E-3</v>
      </c>
      <c r="F21" s="332">
        <f t="shared" si="2"/>
        <v>-2.195093986847374E-2</v>
      </c>
    </row>
    <row r="22" spans="1:6" ht="14.4">
      <c r="A22" s="306">
        <v>45292</v>
      </c>
      <c r="B22" s="307">
        <v>6153.34</v>
      </c>
      <c r="C22" s="308">
        <f t="shared" si="0"/>
        <v>-1.4913951813015247E-2</v>
      </c>
      <c r="D22" s="309">
        <v>218</v>
      </c>
      <c r="E22" s="308">
        <f t="shared" si="1"/>
        <v>3.6614360437470239E-2</v>
      </c>
      <c r="F22" s="332">
        <f t="shared" si="2"/>
        <v>5.1528312250485486E-2</v>
      </c>
    </row>
    <row r="23" spans="1:6" ht="14.4">
      <c r="A23" s="306">
        <v>45261</v>
      </c>
      <c r="B23" s="329">
        <v>6246.5</v>
      </c>
      <c r="C23" s="308">
        <f t="shared" si="0"/>
        <v>3.7714746674850641E-3</v>
      </c>
      <c r="D23" s="309">
        <v>210.3</v>
      </c>
      <c r="E23" s="308">
        <f t="shared" si="1"/>
        <v>2.3832221163011535E-3</v>
      </c>
      <c r="F23" s="332">
        <f t="shared" si="2"/>
        <v>-1.3882525511839106E-3</v>
      </c>
    </row>
    <row r="24" spans="1:6" ht="14.4">
      <c r="A24" s="306">
        <v>45231</v>
      </c>
      <c r="B24" s="329">
        <v>6223.03</v>
      </c>
      <c r="C24" s="308">
        <f t="shared" si="0"/>
        <v>-8.9138397834049865E-3</v>
      </c>
      <c r="D24" s="309">
        <v>209.8</v>
      </c>
      <c r="E24" s="308">
        <f t="shared" si="1"/>
        <v>-6.1582188536237759E-3</v>
      </c>
      <c r="F24" s="332">
        <f t="shared" si="2"/>
        <v>2.7556209297812106E-3</v>
      </c>
    </row>
    <row r="25" spans="1:6" ht="14.4">
      <c r="A25" s="306">
        <v>45200</v>
      </c>
      <c r="B25" s="330">
        <v>6279</v>
      </c>
      <c r="C25" s="308">
        <f t="shared" si="0"/>
        <v>-8.9583634995216155E-4</v>
      </c>
      <c r="D25" s="309">
        <v>211.1</v>
      </c>
      <c r="E25" s="308">
        <f t="shared" si="1"/>
        <v>6.1963775023832213E-3</v>
      </c>
      <c r="F25" s="332">
        <f t="shared" si="2"/>
        <v>7.0922138523353828E-3</v>
      </c>
    </row>
    <row r="26" spans="1:6" ht="14.4">
      <c r="A26" s="306">
        <v>45170</v>
      </c>
      <c r="B26" s="329">
        <v>6284.63</v>
      </c>
      <c r="C26" s="308">
        <f t="shared" si="0"/>
        <v>-2.3605048019683661E-3</v>
      </c>
      <c r="D26" s="309">
        <v>209.8</v>
      </c>
      <c r="E26" s="308">
        <f t="shared" si="1"/>
        <v>-6.1582188536237759E-3</v>
      </c>
      <c r="F26" s="332">
        <f t="shared" si="2"/>
        <v>-3.7977140516554098E-3</v>
      </c>
    </row>
    <row r="27" spans="1:6" ht="14.4">
      <c r="A27" s="306">
        <v>45139</v>
      </c>
      <c r="B27" s="329">
        <v>6299.5</v>
      </c>
      <c r="C27" s="308">
        <f t="shared" si="0"/>
        <v>-4.0017012368751548E-3</v>
      </c>
      <c r="D27" s="309">
        <v>211.1</v>
      </c>
      <c r="E27" s="308">
        <f t="shared" si="1"/>
        <v>6.1963775023832213E-3</v>
      </c>
      <c r="F27" s="332">
        <f t="shared" si="2"/>
        <v>1.0198078739258376E-2</v>
      </c>
    </row>
    <row r="28" spans="1:6" ht="14.4">
      <c r="A28" s="306">
        <v>45108</v>
      </c>
      <c r="B28" s="329">
        <v>6324.81</v>
      </c>
      <c r="C28" s="308">
        <f t="shared" si="0"/>
        <v>-3.0390489416133315E-3</v>
      </c>
      <c r="D28" s="309">
        <v>209.8</v>
      </c>
      <c r="E28" s="308">
        <f t="shared" si="1"/>
        <v>0</v>
      </c>
      <c r="F28" s="332">
        <f t="shared" si="2"/>
        <v>3.0390489416133315E-3</v>
      </c>
    </row>
    <row r="29" spans="1:6" ht="14.4">
      <c r="A29" s="306">
        <v>45078</v>
      </c>
      <c r="B29" s="329">
        <v>6344.09</v>
      </c>
      <c r="C29" s="308">
        <f t="shared" si="0"/>
        <v>6.8614801237920631E-4</v>
      </c>
      <c r="D29" s="309">
        <v>209.8</v>
      </c>
      <c r="E29" s="308">
        <f t="shared" si="1"/>
        <v>0</v>
      </c>
      <c r="F29" s="332">
        <f t="shared" si="2"/>
        <v>-6.8614801237920631E-4</v>
      </c>
    </row>
    <row r="30" spans="1:6" ht="14.4">
      <c r="A30" s="306">
        <v>45047</v>
      </c>
      <c r="B30" s="329">
        <v>6339.74</v>
      </c>
      <c r="C30" s="308">
        <f t="shared" si="0"/>
        <v>1.2303019948296967E-2</v>
      </c>
      <c r="D30" s="309">
        <v>209.8</v>
      </c>
      <c r="E30" s="308">
        <f t="shared" si="1"/>
        <v>0</v>
      </c>
      <c r="F30" s="332">
        <f t="shared" si="2"/>
        <v>-1.2303019948296967E-2</v>
      </c>
    </row>
    <row r="31" spans="1:6" ht="14.4">
      <c r="A31" s="306">
        <v>45017</v>
      </c>
      <c r="B31" s="329">
        <v>6262.69</v>
      </c>
      <c r="C31" s="308">
        <f t="shared" si="0"/>
        <v>9.0046400721788267E-3</v>
      </c>
      <c r="D31" s="309">
        <v>209.8</v>
      </c>
      <c r="E31" s="308">
        <f t="shared" si="1"/>
        <v>0</v>
      </c>
      <c r="F31" s="332">
        <f t="shared" si="2"/>
        <v>-9.0046400721788267E-3</v>
      </c>
    </row>
    <row r="32" spans="1:6" ht="14.4">
      <c r="A32" s="306">
        <v>44986</v>
      </c>
      <c r="B32" s="329">
        <v>6206.8</v>
      </c>
      <c r="C32" s="308">
        <f t="shared" si="0"/>
        <v>-1.6326333652353364E-3</v>
      </c>
      <c r="D32" s="309">
        <v>209.8</v>
      </c>
      <c r="E32" s="308">
        <f t="shared" si="1"/>
        <v>0</v>
      </c>
      <c r="F32" s="332">
        <f t="shared" si="2"/>
        <v>1.6326333652353364E-3</v>
      </c>
    </row>
    <row r="33" spans="1:6" ht="14.4">
      <c r="A33" s="306">
        <v>44958</v>
      </c>
      <c r="B33" s="329">
        <v>6216.95</v>
      </c>
      <c r="C33" s="308">
        <f t="shared" si="0"/>
        <v>-7.994191844647891E-3</v>
      </c>
      <c r="D33" s="309">
        <v>209.8</v>
      </c>
      <c r="E33" s="308">
        <f t="shared" si="1"/>
        <v>0</v>
      </c>
      <c r="F33" s="332">
        <f t="shared" si="2"/>
        <v>7.994191844647891E-3</v>
      </c>
    </row>
    <row r="34" spans="1:6" ht="14.4">
      <c r="A34" s="306">
        <v>44927</v>
      </c>
      <c r="B34" s="329">
        <v>6267.05</v>
      </c>
      <c r="C34" s="308">
        <f t="shared" si="0"/>
        <v>9.7054686707018778E-3</v>
      </c>
      <c r="D34" s="309">
        <v>209.8</v>
      </c>
      <c r="E34" s="308">
        <f t="shared" si="1"/>
        <v>0</v>
      </c>
      <c r="F34" s="332">
        <f t="shared" si="2"/>
        <v>-9.7054686707018778E-3</v>
      </c>
    </row>
    <row r="35" spans="1:6" ht="14.4">
      <c r="A35" s="306">
        <v>44896</v>
      </c>
      <c r="B35" s="329">
        <v>6206.81</v>
      </c>
      <c r="C35" s="308">
        <f t="shared" si="0"/>
        <v>-4.6729046897424631E-3</v>
      </c>
      <c r="D35" s="309">
        <v>209.8</v>
      </c>
      <c r="E35" s="308">
        <f t="shared" si="1"/>
        <v>0</v>
      </c>
      <c r="F35" s="332">
        <f t="shared" si="2"/>
        <v>4.6729046897424631E-3</v>
      </c>
    </row>
    <row r="36" spans="1:6" ht="14.4">
      <c r="A36" s="306">
        <v>44866</v>
      </c>
      <c r="B36" s="329">
        <v>6235.95</v>
      </c>
      <c r="C36" s="308">
        <f t="shared" si="0"/>
        <v>-1.1318559012198581E-2</v>
      </c>
      <c r="D36" s="309">
        <v>209.8</v>
      </c>
      <c r="E36" s="308">
        <f t="shared" si="1"/>
        <v>0</v>
      </c>
      <c r="F36" s="332">
        <f t="shared" si="2"/>
        <v>1.1318559012198581E-2</v>
      </c>
    </row>
    <row r="37" spans="1:6" ht="14.4">
      <c r="A37" s="306">
        <v>44835</v>
      </c>
      <c r="B37" s="329">
        <v>6307.34</v>
      </c>
      <c r="C37" s="308">
        <f t="shared" si="0"/>
        <v>-3.1890482278887022E-2</v>
      </c>
      <c r="D37" s="309">
        <v>209.8</v>
      </c>
      <c r="E37" s="308">
        <f t="shared" si="1"/>
        <v>0</v>
      </c>
      <c r="F37" s="332">
        <f t="shared" si="2"/>
        <v>3.1890482278887022E-2</v>
      </c>
    </row>
    <row r="38" spans="1:6" ht="14.4">
      <c r="A38" s="306">
        <v>44805</v>
      </c>
      <c r="B38" s="329">
        <v>6515.11</v>
      </c>
      <c r="C38" s="308">
        <f t="shared" si="0"/>
        <v>8.9651583808512125E-3</v>
      </c>
      <c r="D38" s="309">
        <v>209.8</v>
      </c>
      <c r="E38" s="308">
        <f t="shared" si="1"/>
        <v>-6.1582188536237759E-3</v>
      </c>
      <c r="F38" s="332">
        <f t="shared" si="2"/>
        <v>-1.5123377234474988E-2</v>
      </c>
    </row>
    <row r="39" spans="1:6" ht="14.4">
      <c r="A39" s="331">
        <v>44774</v>
      </c>
      <c r="B39" s="329">
        <v>6457.22</v>
      </c>
      <c r="C39" s="308">
        <f t="shared" si="0"/>
        <v>5.2700050212260985E-2</v>
      </c>
      <c r="D39" s="309">
        <v>211.1</v>
      </c>
      <c r="E39" s="308">
        <f t="shared" si="1"/>
        <v>-1.891252955082745E-3</v>
      </c>
      <c r="F39" s="332">
        <f t="shared" si="2"/>
        <v>-5.459130316734373E-2</v>
      </c>
    </row>
    <row r="40" spans="1:6" ht="14.4">
      <c r="A40" s="331">
        <v>44743</v>
      </c>
      <c r="B40" s="329">
        <v>6133.96</v>
      </c>
      <c r="C40" s="308">
        <f t="shared" si="0"/>
        <v>-3.810291456403847E-2</v>
      </c>
      <c r="D40" s="309">
        <v>211.5</v>
      </c>
      <c r="E40" s="308">
        <f t="shared" si="1"/>
        <v>-2.3996308260267551E-2</v>
      </c>
      <c r="F40" s="332">
        <f t="shared" si="2"/>
        <v>1.4106606303770919E-2</v>
      </c>
    </row>
    <row r="41" spans="1:6" ht="14.4">
      <c r="A41" s="331">
        <v>44713</v>
      </c>
      <c r="B41" s="329">
        <v>6376.94</v>
      </c>
      <c r="C41" s="308">
        <f t="shared" si="0"/>
        <v>-2.4887178644893426E-3</v>
      </c>
      <c r="D41" s="309">
        <v>216.7</v>
      </c>
      <c r="E41" s="308">
        <f t="shared" si="1"/>
        <v>2.7764923646460549E-3</v>
      </c>
      <c r="F41" s="332">
        <f t="shared" si="2"/>
        <v>5.2652102291353975E-3</v>
      </c>
    </row>
    <row r="42" spans="1:6" ht="14.4">
      <c r="A42" s="331">
        <v>44682</v>
      </c>
      <c r="B42" s="329">
        <v>6392.85</v>
      </c>
      <c r="C42" s="308">
        <f t="shared" si="0"/>
        <v>-3.9486692529365874E-2</v>
      </c>
      <c r="D42" s="309">
        <v>216.1</v>
      </c>
      <c r="E42" s="308">
        <f t="shared" si="1"/>
        <v>-4.1685144124168572E-2</v>
      </c>
      <c r="F42" s="332">
        <f t="shared" si="2"/>
        <v>-2.1984515948026973E-3</v>
      </c>
    </row>
    <row r="43" spans="1:6" ht="14.4">
      <c r="A43" s="331">
        <v>44652</v>
      </c>
      <c r="B43" s="329">
        <v>6655.66</v>
      </c>
      <c r="C43" s="308">
        <f t="shared" si="0"/>
        <v>-1.5118758536394106E-2</v>
      </c>
      <c r="D43" s="309">
        <v>225.5</v>
      </c>
      <c r="E43" s="308">
        <f t="shared" si="1"/>
        <v>2.8271773825809365E-2</v>
      </c>
      <c r="F43" s="332">
        <f t="shared" si="2"/>
        <v>4.3390532362203471E-2</v>
      </c>
    </row>
    <row r="44" spans="1:6" ht="14.4">
      <c r="A44" s="331">
        <v>44621</v>
      </c>
      <c r="B44" s="329">
        <v>6757.83</v>
      </c>
      <c r="C44" s="308">
        <f t="shared" si="0"/>
        <v>2.7287133649087636E-3</v>
      </c>
      <c r="D44" s="309">
        <v>219.3</v>
      </c>
      <c r="E44" s="308">
        <f t="shared" si="1"/>
        <v>9.128251939753973E-4</v>
      </c>
      <c r="F44" s="332">
        <f t="shared" si="2"/>
        <v>-1.8158881709333663E-3</v>
      </c>
    </row>
    <row r="45" spans="1:6" ht="14.4">
      <c r="A45" s="331">
        <v>44593</v>
      </c>
      <c r="B45" s="329">
        <v>6739.44</v>
      </c>
      <c r="C45" s="308">
        <f t="shared" si="0"/>
        <v>-2.6976924154200943E-2</v>
      </c>
      <c r="D45" s="309">
        <v>219.1</v>
      </c>
      <c r="E45" s="308">
        <f t="shared" si="1"/>
        <v>-4.9954586739328066E-3</v>
      </c>
      <c r="F45" s="332">
        <f t="shared" si="2"/>
        <v>2.1981465480268136E-2</v>
      </c>
    </row>
    <row r="46" spans="1:6" ht="14.4">
      <c r="A46" s="331">
        <v>44562</v>
      </c>
      <c r="B46" s="329">
        <v>6926.29</v>
      </c>
      <c r="C46" s="308">
        <f t="shared" si="0"/>
        <v>2.5107116692443698E-2</v>
      </c>
      <c r="D46" s="309">
        <v>220.2</v>
      </c>
      <c r="E46" s="308">
        <f t="shared" si="1"/>
        <v>2.7531497900139978E-2</v>
      </c>
      <c r="F46" s="332">
        <f t="shared" si="2"/>
        <v>2.4243812076962801E-3</v>
      </c>
    </row>
    <row r="47" spans="1:6" ht="14.4">
      <c r="A47" s="331">
        <v>44531</v>
      </c>
      <c r="B47" s="329">
        <v>6756.65</v>
      </c>
      <c r="C47" s="308" t="e">
        <f>(B47/#REF!)-1</f>
        <v>#REF!</v>
      </c>
      <c r="D47" s="309">
        <v>214.3</v>
      </c>
      <c r="E47" s="308" t="e">
        <f>(D47/#REF!)-1</f>
        <v>#REF!</v>
      </c>
      <c r="F47" s="204" t="e">
        <f t="shared" si="2"/>
        <v>#REF!</v>
      </c>
    </row>
    <row r="49" spans="4:8" ht="15" customHeight="1">
      <c r="D49" s="545" t="s">
        <v>353</v>
      </c>
      <c r="E49" s="542">
        <f>_xlfn.STDEV.S(E3:E46)</f>
        <v>2.9749658080782636E-2</v>
      </c>
      <c r="G49" s="539" t="s">
        <v>354</v>
      </c>
      <c r="H49" s="540">
        <f>E50/E51</f>
        <v>9.3870086310057041E-2</v>
      </c>
    </row>
    <row r="50" spans="4:8" ht="15" customHeight="1">
      <c r="D50" s="546" t="s">
        <v>355</v>
      </c>
      <c r="E50" s="543">
        <f>AVERAGE(E3:E46)</f>
        <v>2.2473407525335572E-3</v>
      </c>
      <c r="G50" s="539" t="s">
        <v>356</v>
      </c>
      <c r="H50" s="541">
        <f>SQRT(252)*E49</f>
        <v>0.47226118122572375</v>
      </c>
    </row>
    <row r="51" spans="4:8" ht="15.6">
      <c r="D51" s="547" t="s">
        <v>357</v>
      </c>
      <c r="E51" s="544">
        <f>STDEV(F3:F46)</f>
        <v>2.3940968213350646E-2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3:F18"/>
  <sheetViews>
    <sheetView workbookViewId="0">
      <selection activeCell="C9" sqref="C9:F18"/>
    </sheetView>
  </sheetViews>
  <sheetFormatPr defaultColWidth="14.44140625" defaultRowHeight="15" customHeight="1"/>
  <cols>
    <col min="1" max="1" width="5.109375" customWidth="1"/>
    <col min="2" max="2" width="30" customWidth="1"/>
    <col min="3" max="3" width="16.33203125" customWidth="1"/>
    <col min="4" max="4" width="16" customWidth="1"/>
    <col min="5" max="5" width="16.33203125" customWidth="1"/>
    <col min="6" max="6" width="16.44140625" customWidth="1"/>
  </cols>
  <sheetData>
    <row r="3" spans="2:6">
      <c r="B3" s="645" t="s">
        <v>358</v>
      </c>
      <c r="C3" s="643">
        <f>'Sensitivity Analysis'!C7</f>
        <v>5.7873758765999997E-2</v>
      </c>
      <c r="D3" s="284"/>
      <c r="E3" s="284"/>
      <c r="F3" s="284"/>
    </row>
    <row r="4" spans="2:6">
      <c r="B4" s="646" t="s">
        <v>522</v>
      </c>
      <c r="C4" s="644">
        <f>'SQURPHARMA Earnings Model T-1'!C270</f>
        <v>0.13164167545306318</v>
      </c>
      <c r="D4" s="284"/>
      <c r="E4" s="284"/>
      <c r="F4" s="284"/>
    </row>
    <row r="5" spans="2:6">
      <c r="B5" s="284"/>
      <c r="C5" s="284"/>
      <c r="D5" s="284"/>
      <c r="E5" s="284"/>
      <c r="F5" s="284"/>
    </row>
    <row r="6" spans="2:6">
      <c r="B6" s="548" t="s">
        <v>360</v>
      </c>
      <c r="C6" s="549" t="s">
        <v>361</v>
      </c>
      <c r="D6" s="549" t="s">
        <v>362</v>
      </c>
      <c r="E6" s="549" t="s">
        <v>363</v>
      </c>
      <c r="F6" s="550" t="s">
        <v>364</v>
      </c>
    </row>
    <row r="7" spans="2:6">
      <c r="B7" s="554"/>
      <c r="C7" s="555" t="s">
        <v>365</v>
      </c>
      <c r="D7" s="555" t="s">
        <v>366</v>
      </c>
      <c r="E7" s="555" t="s">
        <v>366</v>
      </c>
      <c r="F7" s="556" t="s">
        <v>366</v>
      </c>
    </row>
    <row r="8" spans="2:6">
      <c r="B8" s="557"/>
      <c r="C8" s="558" t="s">
        <v>66</v>
      </c>
      <c r="D8" s="558" t="s">
        <v>71</v>
      </c>
      <c r="E8" s="558" t="s">
        <v>76</v>
      </c>
      <c r="F8" s="559" t="s">
        <v>81</v>
      </c>
    </row>
    <row r="9" spans="2:6">
      <c r="B9" s="551" t="s">
        <v>367</v>
      </c>
      <c r="C9" s="726">
        <f>'SQURPHARMA Earnings Model T-1'!AB41</f>
        <v>886.45101000000011</v>
      </c>
      <c r="D9" s="552">
        <f>'SQURPHARMA Earnings Model T-1'!AC41</f>
        <v>886.45101</v>
      </c>
      <c r="E9" s="552">
        <f>'SQURPHARMA Earnings Model T-1'!AD41</f>
        <v>886.45101000000011</v>
      </c>
      <c r="F9" s="553">
        <f>'SQURPHARMA Earnings Model T-1'!AE41</f>
        <v>886.45101</v>
      </c>
    </row>
    <row r="10" spans="2:6">
      <c r="B10" s="336" t="s">
        <v>368</v>
      </c>
      <c r="C10" s="727">
        <f>C9*'SQURPHARMA Earnings Model T-1'!AB44</f>
        <v>10641.899869064708</v>
      </c>
      <c r="D10" s="337">
        <f>D9*'SQURPHARMA Earnings Model T-1'!AG44</f>
        <v>12331.904046950131</v>
      </c>
      <c r="E10" s="337">
        <f>E9*'SQURPHARMA Earnings Model T-1'!AL44</f>
        <v>13333.422213955528</v>
      </c>
      <c r="F10" s="338">
        <f>F9*'SQURPHARMA Earnings Model T-1'!AQ44</f>
        <v>14633.56816273285</v>
      </c>
    </row>
    <row r="11" spans="2:6">
      <c r="B11" s="335" t="s">
        <v>369</v>
      </c>
      <c r="C11" s="728">
        <v>0.25</v>
      </c>
      <c r="D11" s="339">
        <v>1.25</v>
      </c>
      <c r="E11" s="339">
        <v>2.25</v>
      </c>
      <c r="F11" s="340">
        <v>3.25</v>
      </c>
    </row>
    <row r="12" spans="2:6">
      <c r="B12" s="336" t="s">
        <v>370</v>
      </c>
      <c r="C12" s="727">
        <f t="shared" ref="C12:F12" si="0">C10/((1+$C$4)^C$11)</f>
        <v>10317.914744120053</v>
      </c>
      <c r="D12" s="337">
        <f t="shared" si="0"/>
        <v>10565.595274408581</v>
      </c>
      <c r="E12" s="337">
        <f t="shared" si="0"/>
        <v>10094.772415467472</v>
      </c>
      <c r="F12" s="338">
        <f t="shared" si="0"/>
        <v>9790.3045668869436</v>
      </c>
    </row>
    <row r="13" spans="2:6">
      <c r="B13" s="335" t="s">
        <v>371</v>
      </c>
      <c r="C13" s="728">
        <f>SUM(C12:F12)</f>
        <v>40768.587000883053</v>
      </c>
      <c r="D13" s="339"/>
      <c r="E13" s="339"/>
      <c r="F13" s="340"/>
    </row>
    <row r="14" spans="2:6">
      <c r="B14" s="336" t="s">
        <v>372</v>
      </c>
      <c r="C14" s="727">
        <f>F10*(1+C3)/(C4-C3)</f>
        <v>209853.66608819398</v>
      </c>
      <c r="D14" s="341"/>
      <c r="E14" s="341"/>
      <c r="F14" s="342"/>
    </row>
    <row r="15" spans="2:6">
      <c r="B15" s="335" t="s">
        <v>373</v>
      </c>
      <c r="C15" s="728">
        <f>C14/((1+C4)^F11)</f>
        <v>140398.51952946553</v>
      </c>
      <c r="D15" s="339"/>
      <c r="E15" s="339"/>
      <c r="F15" s="340"/>
    </row>
    <row r="16" spans="2:6">
      <c r="B16" s="336" t="s">
        <v>374</v>
      </c>
      <c r="C16" s="727">
        <f>C15+C13</f>
        <v>181167.1065303486</v>
      </c>
      <c r="D16" s="341"/>
      <c r="E16" s="341"/>
      <c r="F16" s="342"/>
    </row>
    <row r="17" spans="2:6">
      <c r="B17" s="335" t="s">
        <v>375</v>
      </c>
      <c r="C17" s="728">
        <f>'SQURPHARMA Earnings Model T-1'!Z40</f>
        <v>886.45101</v>
      </c>
      <c r="D17" s="339"/>
      <c r="E17" s="339"/>
      <c r="F17" s="340"/>
    </row>
    <row r="18" spans="2:6">
      <c r="B18" s="343" t="s">
        <v>376</v>
      </c>
      <c r="C18" s="729">
        <f>C16/C17</f>
        <v>204.3735124520289</v>
      </c>
      <c r="D18" s="344"/>
      <c r="E18" s="344"/>
      <c r="F18" s="34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000"/>
  <sheetViews>
    <sheetView topLeftCell="A56" workbookViewId="0">
      <selection activeCell="L15" sqref="L15"/>
    </sheetView>
  </sheetViews>
  <sheetFormatPr defaultColWidth="14.44140625" defaultRowHeight="15" customHeight="1"/>
  <cols>
    <col min="3" max="3" width="14.5546875" customWidth="1"/>
    <col min="9" max="9" width="22.109375" customWidth="1"/>
  </cols>
  <sheetData>
    <row r="1" spans="1:13">
      <c r="A1" s="793" t="s">
        <v>377</v>
      </c>
      <c r="B1" s="732"/>
      <c r="C1" s="732"/>
      <c r="D1" s="732"/>
    </row>
    <row r="2" spans="1:13">
      <c r="A2" s="560" t="s">
        <v>323</v>
      </c>
      <c r="B2" s="560" t="s">
        <v>378</v>
      </c>
      <c r="C2" s="561" t="s">
        <v>379</v>
      </c>
      <c r="D2" s="562" t="s">
        <v>380</v>
      </c>
      <c r="I2" s="346"/>
      <c r="J2" s="346"/>
      <c r="K2" s="346"/>
      <c r="L2" s="346"/>
      <c r="M2" s="346"/>
    </row>
    <row r="3" spans="1:13">
      <c r="A3" s="347">
        <v>45743</v>
      </c>
      <c r="B3" s="348">
        <v>220.1</v>
      </c>
      <c r="C3" s="204">
        <v>23.6081</v>
      </c>
      <c r="D3" s="349">
        <f t="shared" ref="D3:D181" si="0">B3/$C$3</f>
        <v>9.3230713187422953</v>
      </c>
      <c r="I3" s="350"/>
      <c r="J3" s="350"/>
      <c r="K3" s="350"/>
      <c r="L3" s="350"/>
      <c r="M3" s="350"/>
    </row>
    <row r="4" spans="1:13">
      <c r="A4" s="347">
        <v>45741</v>
      </c>
      <c r="B4" s="348">
        <v>219.7</v>
      </c>
      <c r="D4" s="349">
        <f t="shared" si="0"/>
        <v>9.306127981497875</v>
      </c>
      <c r="F4" s="563" t="s">
        <v>381</v>
      </c>
      <c r="G4" s="567">
        <f>AVERAGE(D3:D237)</f>
        <v>9.4368103878129475</v>
      </c>
      <c r="I4" s="351"/>
      <c r="J4" s="350"/>
      <c r="K4" s="352"/>
      <c r="L4" s="352"/>
      <c r="M4" s="353"/>
    </row>
    <row r="5" spans="1:13">
      <c r="A5" s="347">
        <v>45740</v>
      </c>
      <c r="B5" s="348">
        <v>220</v>
      </c>
      <c r="D5" s="349">
        <f t="shared" si="0"/>
        <v>9.3188354844311903</v>
      </c>
      <c r="F5" s="564" t="s">
        <v>382</v>
      </c>
      <c r="G5" s="568">
        <f>LARGE(D3:D237,1)</f>
        <v>10.190880516362855</v>
      </c>
      <c r="I5" s="351"/>
      <c r="J5" s="350"/>
      <c r="K5" s="352"/>
      <c r="L5" s="352"/>
      <c r="M5" s="353"/>
    </row>
    <row r="6" spans="1:13">
      <c r="A6" s="347">
        <v>45739</v>
      </c>
      <c r="B6" s="348">
        <v>219.6</v>
      </c>
      <c r="D6" s="349">
        <f t="shared" si="0"/>
        <v>9.3018921471867699</v>
      </c>
      <c r="F6" s="566" t="s">
        <v>383</v>
      </c>
      <c r="G6" s="569">
        <f>SMALL(D3:D237,1)</f>
        <v>8.8105353670985807</v>
      </c>
      <c r="I6" s="351"/>
      <c r="J6" s="350"/>
      <c r="K6" s="352"/>
      <c r="L6" s="352"/>
      <c r="M6" s="353"/>
    </row>
    <row r="7" spans="1:13">
      <c r="A7" s="347">
        <v>45736</v>
      </c>
      <c r="B7" s="348">
        <v>220.1</v>
      </c>
      <c r="D7" s="349">
        <f t="shared" si="0"/>
        <v>9.3230713187422953</v>
      </c>
    </row>
    <row r="8" spans="1:13">
      <c r="A8" s="347">
        <v>45735</v>
      </c>
      <c r="B8" s="348">
        <v>220.4</v>
      </c>
      <c r="D8" s="349">
        <f t="shared" si="0"/>
        <v>9.3357788216756106</v>
      </c>
    </row>
    <row r="9" spans="1:13">
      <c r="A9" s="347">
        <v>45734</v>
      </c>
      <c r="B9" s="348">
        <v>220.6</v>
      </c>
      <c r="D9" s="349">
        <f t="shared" si="0"/>
        <v>9.3442504902978207</v>
      </c>
    </row>
    <row r="10" spans="1:13">
      <c r="A10" s="347">
        <v>45733</v>
      </c>
      <c r="B10" s="348">
        <v>219.9</v>
      </c>
      <c r="D10" s="349">
        <f t="shared" si="0"/>
        <v>9.3145996501200852</v>
      </c>
      <c r="I10" s="333" t="s">
        <v>384</v>
      </c>
      <c r="J10" s="284"/>
      <c r="K10" s="284"/>
      <c r="L10" s="284"/>
    </row>
    <row r="11" spans="1:13">
      <c r="A11" s="347">
        <v>45732</v>
      </c>
      <c r="B11" s="348">
        <v>220.4</v>
      </c>
      <c r="D11" s="349">
        <f t="shared" si="0"/>
        <v>9.3357788216756106</v>
      </c>
      <c r="I11" s="284"/>
      <c r="J11" s="284"/>
      <c r="K11" s="284"/>
      <c r="L11" s="284"/>
    </row>
    <row r="12" spans="1:13">
      <c r="A12" s="347">
        <v>45729</v>
      </c>
      <c r="B12" s="348">
        <v>219.9</v>
      </c>
      <c r="D12" s="349">
        <f t="shared" si="0"/>
        <v>9.3145996501200852</v>
      </c>
      <c r="I12" s="570" t="s">
        <v>385</v>
      </c>
      <c r="J12" s="571" t="s">
        <v>386</v>
      </c>
      <c r="K12" s="571" t="s">
        <v>379</v>
      </c>
      <c r="L12" s="572" t="s">
        <v>387</v>
      </c>
    </row>
    <row r="13" spans="1:13">
      <c r="A13" s="347">
        <v>45728</v>
      </c>
      <c r="B13" s="348">
        <v>218.9</v>
      </c>
      <c r="D13" s="349">
        <f t="shared" si="0"/>
        <v>9.2722413070090344</v>
      </c>
      <c r="I13" s="354" t="s">
        <v>388</v>
      </c>
      <c r="J13" s="355">
        <f>M4</f>
        <v>0</v>
      </c>
      <c r="K13" s="356">
        <f>'SQURPHARMA Earnings Model T-1'!W42</f>
        <v>23.608124628342406</v>
      </c>
      <c r="L13" s="357">
        <f>J13*K13</f>
        <v>0</v>
      </c>
    </row>
    <row r="14" spans="1:13">
      <c r="A14" s="347">
        <v>45727</v>
      </c>
      <c r="B14" s="348">
        <v>217.7</v>
      </c>
      <c r="D14" s="349">
        <f t="shared" si="0"/>
        <v>9.2214112952757734</v>
      </c>
      <c r="I14" s="358" t="s">
        <v>389</v>
      </c>
      <c r="J14" s="359"/>
      <c r="K14" s="360"/>
      <c r="L14" s="361"/>
    </row>
    <row r="15" spans="1:13">
      <c r="A15" s="347">
        <v>45726</v>
      </c>
      <c r="B15" s="348">
        <v>217.5</v>
      </c>
      <c r="D15" s="349">
        <f t="shared" si="0"/>
        <v>9.2129396266535633</v>
      </c>
      <c r="I15" s="362" t="s">
        <v>390</v>
      </c>
      <c r="J15" s="363"/>
      <c r="K15" s="363"/>
      <c r="L15" s="573"/>
    </row>
    <row r="16" spans="1:13">
      <c r="A16" s="347">
        <v>45725</v>
      </c>
      <c r="B16" s="348">
        <v>217.5</v>
      </c>
      <c r="D16" s="349">
        <f t="shared" si="0"/>
        <v>9.2129396266535633</v>
      </c>
    </row>
    <row r="17" spans="1:4">
      <c r="A17" s="347">
        <v>45722</v>
      </c>
      <c r="B17" s="348">
        <v>217.5</v>
      </c>
      <c r="D17" s="349">
        <f t="shared" si="0"/>
        <v>9.2129396266535633</v>
      </c>
    </row>
    <row r="18" spans="1:4">
      <c r="A18" s="347">
        <v>45721</v>
      </c>
      <c r="B18" s="348">
        <v>217</v>
      </c>
      <c r="D18" s="349">
        <f t="shared" si="0"/>
        <v>9.1917604550980379</v>
      </c>
    </row>
    <row r="19" spans="1:4">
      <c r="A19" s="347">
        <v>45720</v>
      </c>
      <c r="B19" s="348">
        <v>216.9</v>
      </c>
      <c r="D19" s="349">
        <f t="shared" si="0"/>
        <v>9.1875246207869328</v>
      </c>
    </row>
    <row r="20" spans="1:4">
      <c r="A20" s="347">
        <v>45719</v>
      </c>
      <c r="B20" s="348">
        <v>217.1</v>
      </c>
      <c r="D20" s="349">
        <f t="shared" si="0"/>
        <v>9.1959962894091429</v>
      </c>
    </row>
    <row r="21" spans="1:4">
      <c r="A21" s="347">
        <v>45718</v>
      </c>
      <c r="B21" s="348">
        <v>216.3</v>
      </c>
      <c r="D21" s="349">
        <f t="shared" si="0"/>
        <v>9.1621096149203023</v>
      </c>
    </row>
    <row r="22" spans="1:4">
      <c r="A22" s="347">
        <v>45715</v>
      </c>
      <c r="B22" s="348">
        <v>216.5</v>
      </c>
      <c r="D22" s="349">
        <f t="shared" si="0"/>
        <v>9.1705812835425125</v>
      </c>
    </row>
    <row r="23" spans="1:4">
      <c r="A23" s="347">
        <v>45714</v>
      </c>
      <c r="B23" s="348">
        <v>216.2</v>
      </c>
      <c r="D23" s="349">
        <f t="shared" si="0"/>
        <v>9.1578737806091972</v>
      </c>
    </row>
    <row r="24" spans="1:4">
      <c r="A24" s="347">
        <v>45713</v>
      </c>
      <c r="B24" s="348">
        <v>216</v>
      </c>
      <c r="D24" s="349">
        <f t="shared" si="0"/>
        <v>9.1494021119869871</v>
      </c>
    </row>
    <row r="25" spans="1:4">
      <c r="A25" s="347">
        <v>45712</v>
      </c>
      <c r="B25" s="348">
        <v>215.8</v>
      </c>
      <c r="D25" s="349">
        <f t="shared" si="0"/>
        <v>9.1409304433647769</v>
      </c>
    </row>
    <row r="26" spans="1:4">
      <c r="A26" s="347">
        <v>45711</v>
      </c>
      <c r="B26" s="348">
        <v>216.1</v>
      </c>
      <c r="D26" s="349">
        <f t="shared" si="0"/>
        <v>9.1536379462980921</v>
      </c>
    </row>
    <row r="27" spans="1:4">
      <c r="A27" s="347">
        <v>45708</v>
      </c>
      <c r="B27" s="348">
        <v>215.9</v>
      </c>
      <c r="D27" s="349">
        <f t="shared" si="0"/>
        <v>9.145166277675882</v>
      </c>
    </row>
    <row r="28" spans="1:4">
      <c r="A28" s="347">
        <v>45707</v>
      </c>
      <c r="B28" s="348">
        <v>216</v>
      </c>
      <c r="D28" s="349">
        <f t="shared" si="0"/>
        <v>9.1494021119869871</v>
      </c>
    </row>
    <row r="29" spans="1:4">
      <c r="A29" s="347">
        <v>45706</v>
      </c>
      <c r="B29" s="348">
        <v>214.9</v>
      </c>
      <c r="D29" s="349">
        <f t="shared" si="0"/>
        <v>9.1028079345648312</v>
      </c>
    </row>
    <row r="30" spans="1:4">
      <c r="A30" s="347">
        <v>45705</v>
      </c>
      <c r="B30" s="348">
        <v>215.4</v>
      </c>
      <c r="D30" s="349">
        <f t="shared" si="0"/>
        <v>9.1239871061203566</v>
      </c>
    </row>
    <row r="31" spans="1:4">
      <c r="A31" s="347">
        <v>45704</v>
      </c>
      <c r="B31" s="348">
        <v>215.8</v>
      </c>
      <c r="D31" s="349">
        <f t="shared" si="0"/>
        <v>9.1409304433647769</v>
      </c>
    </row>
    <row r="32" spans="1:4">
      <c r="A32" s="347">
        <v>45701</v>
      </c>
      <c r="B32" s="348">
        <v>215.2</v>
      </c>
      <c r="D32" s="349">
        <f t="shared" si="0"/>
        <v>9.1155154374981464</v>
      </c>
    </row>
    <row r="33" spans="1:4">
      <c r="A33" s="347">
        <v>45700</v>
      </c>
      <c r="B33" s="348">
        <v>215.5</v>
      </c>
      <c r="D33" s="349">
        <f t="shared" si="0"/>
        <v>9.1282229404314617</v>
      </c>
    </row>
    <row r="34" spans="1:4">
      <c r="A34" s="347">
        <v>45699</v>
      </c>
      <c r="B34" s="348">
        <v>215</v>
      </c>
      <c r="D34" s="349">
        <f t="shared" si="0"/>
        <v>9.1070437688759363</v>
      </c>
    </row>
    <row r="35" spans="1:4">
      <c r="A35" s="347">
        <v>45698</v>
      </c>
      <c r="B35" s="348">
        <v>215.5</v>
      </c>
      <c r="D35" s="349">
        <f t="shared" si="0"/>
        <v>9.1282229404314617</v>
      </c>
    </row>
    <row r="36" spans="1:4">
      <c r="A36" s="347">
        <v>45697</v>
      </c>
      <c r="B36" s="348">
        <v>216.2</v>
      </c>
      <c r="D36" s="349">
        <f t="shared" si="0"/>
        <v>9.1578737806091972</v>
      </c>
    </row>
    <row r="37" spans="1:4">
      <c r="A37" s="347">
        <v>45694</v>
      </c>
      <c r="B37" s="348">
        <v>216</v>
      </c>
      <c r="D37" s="349">
        <f t="shared" si="0"/>
        <v>9.1494021119869871</v>
      </c>
    </row>
    <row r="38" spans="1:4">
      <c r="A38" s="347">
        <v>45693</v>
      </c>
      <c r="B38" s="348">
        <v>216.7</v>
      </c>
      <c r="D38" s="349">
        <f t="shared" si="0"/>
        <v>9.1790529521647226</v>
      </c>
    </row>
    <row r="39" spans="1:4">
      <c r="A39" s="347">
        <v>45692</v>
      </c>
      <c r="B39" s="348">
        <v>217.4</v>
      </c>
      <c r="D39" s="349">
        <f t="shared" si="0"/>
        <v>9.2087037923424582</v>
      </c>
    </row>
    <row r="40" spans="1:4">
      <c r="A40" s="347">
        <v>45691</v>
      </c>
      <c r="B40" s="348">
        <v>217.3</v>
      </c>
      <c r="D40" s="349">
        <f t="shared" si="0"/>
        <v>9.2044679580313549</v>
      </c>
    </row>
    <row r="41" spans="1:4">
      <c r="A41" s="347">
        <v>45690</v>
      </c>
      <c r="B41" s="348">
        <v>217.3</v>
      </c>
      <c r="D41" s="349">
        <f t="shared" si="0"/>
        <v>9.2044679580313549</v>
      </c>
    </row>
    <row r="42" spans="1:4">
      <c r="A42" s="347">
        <v>45687</v>
      </c>
      <c r="B42" s="348">
        <v>216.7</v>
      </c>
      <c r="D42" s="349">
        <f t="shared" si="0"/>
        <v>9.1790529521647226</v>
      </c>
    </row>
    <row r="43" spans="1:4">
      <c r="A43" s="347">
        <v>45686</v>
      </c>
      <c r="B43" s="348">
        <v>217.5</v>
      </c>
      <c r="D43" s="349">
        <f t="shared" si="0"/>
        <v>9.2129396266535633</v>
      </c>
    </row>
    <row r="44" spans="1:4">
      <c r="A44" s="347">
        <v>45685</v>
      </c>
      <c r="B44" s="348">
        <v>217.1</v>
      </c>
      <c r="D44" s="349">
        <f t="shared" si="0"/>
        <v>9.1959962894091429</v>
      </c>
    </row>
    <row r="45" spans="1:4">
      <c r="A45" s="347">
        <v>45684</v>
      </c>
      <c r="B45" s="348">
        <v>216.4</v>
      </c>
      <c r="D45" s="349">
        <f t="shared" si="0"/>
        <v>9.1663454492314074</v>
      </c>
    </row>
    <row r="46" spans="1:4">
      <c r="A46" s="347">
        <v>45683</v>
      </c>
      <c r="B46" s="348">
        <v>216.2</v>
      </c>
      <c r="D46" s="349">
        <f t="shared" si="0"/>
        <v>9.1578737806091972</v>
      </c>
    </row>
    <row r="47" spans="1:4">
      <c r="A47" s="347">
        <v>45680</v>
      </c>
      <c r="B47" s="348">
        <v>217.2</v>
      </c>
      <c r="D47" s="349">
        <f t="shared" si="0"/>
        <v>9.200232123720248</v>
      </c>
    </row>
    <row r="48" spans="1:4">
      <c r="A48" s="347">
        <v>45679</v>
      </c>
      <c r="B48" s="348">
        <v>216.7</v>
      </c>
      <c r="D48" s="349">
        <f t="shared" si="0"/>
        <v>9.1790529521647226</v>
      </c>
    </row>
    <row r="49" spans="1:4">
      <c r="A49" s="347">
        <v>45678</v>
      </c>
      <c r="B49" s="348">
        <v>217.5</v>
      </c>
      <c r="D49" s="349">
        <f t="shared" si="0"/>
        <v>9.2129396266535633</v>
      </c>
    </row>
    <row r="50" spans="1:4">
      <c r="A50" s="347">
        <v>45677</v>
      </c>
      <c r="B50" s="348">
        <v>217.4</v>
      </c>
      <c r="D50" s="349">
        <f t="shared" si="0"/>
        <v>9.2087037923424582</v>
      </c>
    </row>
    <row r="51" spans="1:4">
      <c r="A51" s="347">
        <v>45676</v>
      </c>
      <c r="B51" s="348">
        <v>215.7</v>
      </c>
      <c r="D51" s="349">
        <f t="shared" si="0"/>
        <v>9.1366946090536718</v>
      </c>
    </row>
    <row r="52" spans="1:4">
      <c r="A52" s="347">
        <v>45673</v>
      </c>
      <c r="B52" s="348">
        <v>215.3</v>
      </c>
      <c r="D52" s="349">
        <f t="shared" si="0"/>
        <v>9.1197512718092515</v>
      </c>
    </row>
    <row r="53" spans="1:4">
      <c r="A53" s="347">
        <v>45672</v>
      </c>
      <c r="B53" s="348">
        <v>214.9</v>
      </c>
      <c r="D53" s="349">
        <f t="shared" si="0"/>
        <v>9.1028079345648312</v>
      </c>
    </row>
    <row r="54" spans="1:4">
      <c r="A54" s="347">
        <v>45671</v>
      </c>
      <c r="B54" s="348">
        <v>215.6</v>
      </c>
      <c r="D54" s="349">
        <f t="shared" si="0"/>
        <v>9.1324587747425667</v>
      </c>
    </row>
    <row r="55" spans="1:4">
      <c r="A55" s="347">
        <v>45670</v>
      </c>
      <c r="B55" s="348">
        <v>217.7</v>
      </c>
      <c r="D55" s="349">
        <f t="shared" si="0"/>
        <v>9.2214112952757734</v>
      </c>
    </row>
    <row r="56" spans="1:4">
      <c r="A56" s="347">
        <v>45669</v>
      </c>
      <c r="B56" s="348">
        <v>215.5</v>
      </c>
      <c r="D56" s="349">
        <f t="shared" si="0"/>
        <v>9.1282229404314617</v>
      </c>
    </row>
    <row r="57" spans="1:4">
      <c r="A57" s="347">
        <v>45666</v>
      </c>
      <c r="B57" s="348">
        <v>216.6</v>
      </c>
      <c r="D57" s="349">
        <f t="shared" si="0"/>
        <v>9.1748171178536175</v>
      </c>
    </row>
    <row r="58" spans="1:4">
      <c r="A58" s="347">
        <v>45665</v>
      </c>
      <c r="B58" s="348">
        <v>216.8</v>
      </c>
      <c r="D58" s="349">
        <f t="shared" si="0"/>
        <v>9.1832887864758277</v>
      </c>
    </row>
    <row r="59" spans="1:4">
      <c r="A59" s="347">
        <v>45664</v>
      </c>
      <c r="B59" s="348">
        <v>217</v>
      </c>
      <c r="D59" s="349">
        <f t="shared" si="0"/>
        <v>9.1917604550980379</v>
      </c>
    </row>
    <row r="60" spans="1:4">
      <c r="A60" s="347">
        <v>45663</v>
      </c>
      <c r="B60" s="348">
        <v>216.3</v>
      </c>
      <c r="D60" s="349">
        <f t="shared" si="0"/>
        <v>9.1621096149203023</v>
      </c>
    </row>
    <row r="61" spans="1:4">
      <c r="A61" s="347">
        <v>45662</v>
      </c>
      <c r="B61" s="348">
        <v>216.2</v>
      </c>
      <c r="D61" s="349">
        <f t="shared" si="0"/>
        <v>9.1578737806091972</v>
      </c>
    </row>
    <row r="62" spans="1:4">
      <c r="A62" s="347">
        <v>45659</v>
      </c>
      <c r="B62" s="348">
        <v>216.6</v>
      </c>
      <c r="D62" s="349">
        <f t="shared" si="0"/>
        <v>9.1748171178536175</v>
      </c>
    </row>
    <row r="63" spans="1:4">
      <c r="A63" s="347">
        <v>45658</v>
      </c>
      <c r="B63" s="348">
        <v>217</v>
      </c>
      <c r="D63" s="349">
        <f t="shared" si="0"/>
        <v>9.1917604550980379</v>
      </c>
    </row>
    <row r="64" spans="1:4">
      <c r="A64" s="347">
        <v>45656</v>
      </c>
      <c r="B64" s="348">
        <v>217.7</v>
      </c>
      <c r="D64" s="349">
        <f t="shared" si="0"/>
        <v>9.2214112952757734</v>
      </c>
    </row>
    <row r="65" spans="1:4">
      <c r="A65" s="347">
        <v>45655</v>
      </c>
      <c r="B65" s="348">
        <v>216.4</v>
      </c>
      <c r="D65" s="349">
        <f t="shared" si="0"/>
        <v>9.1663454492314074</v>
      </c>
    </row>
    <row r="66" spans="1:4">
      <c r="A66" s="347">
        <v>45652</v>
      </c>
      <c r="B66" s="348">
        <v>216.6</v>
      </c>
      <c r="D66" s="349">
        <f t="shared" si="0"/>
        <v>9.1748171178536175</v>
      </c>
    </row>
    <row r="67" spans="1:4">
      <c r="A67" s="347">
        <v>45650</v>
      </c>
      <c r="B67" s="348">
        <v>217.9</v>
      </c>
      <c r="D67" s="349">
        <f t="shared" si="0"/>
        <v>9.2298829638979836</v>
      </c>
    </row>
    <row r="68" spans="1:4">
      <c r="A68" s="347">
        <v>45649</v>
      </c>
      <c r="B68" s="348">
        <v>218</v>
      </c>
      <c r="D68" s="349">
        <f t="shared" si="0"/>
        <v>9.2341187982090887</v>
      </c>
    </row>
    <row r="69" spans="1:4">
      <c r="A69" s="347">
        <v>45648</v>
      </c>
      <c r="B69" s="348">
        <v>221</v>
      </c>
      <c r="D69" s="349">
        <f t="shared" si="0"/>
        <v>9.3611938275422411</v>
      </c>
    </row>
    <row r="70" spans="1:4">
      <c r="A70" s="347">
        <v>45645</v>
      </c>
      <c r="B70" s="348">
        <v>222.8</v>
      </c>
      <c r="D70" s="349">
        <f t="shared" si="0"/>
        <v>9.4374388451421343</v>
      </c>
    </row>
    <row r="71" spans="1:4">
      <c r="A71" s="347">
        <v>45644</v>
      </c>
      <c r="B71" s="348">
        <v>222.6</v>
      </c>
      <c r="D71" s="349">
        <f t="shared" si="0"/>
        <v>9.4289671765199223</v>
      </c>
    </row>
    <row r="72" spans="1:4">
      <c r="A72" s="347">
        <v>45643</v>
      </c>
      <c r="B72" s="348">
        <v>223.2</v>
      </c>
      <c r="D72" s="349">
        <f t="shared" si="0"/>
        <v>9.4543821823865528</v>
      </c>
    </row>
    <row r="73" spans="1:4">
      <c r="A73" s="347">
        <v>45641</v>
      </c>
      <c r="B73" s="348">
        <v>222.9</v>
      </c>
      <c r="D73" s="349">
        <f t="shared" si="0"/>
        <v>9.4416746794532393</v>
      </c>
    </row>
    <row r="74" spans="1:4">
      <c r="A74" s="347">
        <v>45638</v>
      </c>
      <c r="B74" s="348">
        <v>212.4</v>
      </c>
      <c r="D74" s="349">
        <f t="shared" si="0"/>
        <v>8.9969120767872042</v>
      </c>
    </row>
    <row r="75" spans="1:4">
      <c r="A75" s="347">
        <v>45637</v>
      </c>
      <c r="B75" s="348">
        <v>214.7</v>
      </c>
      <c r="D75" s="349">
        <f t="shared" si="0"/>
        <v>9.094336265942621</v>
      </c>
    </row>
    <row r="76" spans="1:4">
      <c r="A76" s="347">
        <v>45636</v>
      </c>
      <c r="B76" s="348">
        <v>215.8</v>
      </c>
      <c r="D76" s="349">
        <f t="shared" si="0"/>
        <v>9.1409304433647769</v>
      </c>
    </row>
    <row r="77" spans="1:4">
      <c r="A77" s="347">
        <v>45635</v>
      </c>
      <c r="B77" s="348">
        <v>216.7</v>
      </c>
      <c r="D77" s="349">
        <f t="shared" si="0"/>
        <v>9.1790529521647226</v>
      </c>
    </row>
    <row r="78" spans="1:4">
      <c r="A78" s="347">
        <v>45634</v>
      </c>
      <c r="B78" s="348">
        <v>217.9</v>
      </c>
      <c r="D78" s="349">
        <f t="shared" si="0"/>
        <v>9.2298829638979836</v>
      </c>
    </row>
    <row r="79" spans="1:4">
      <c r="A79" s="347">
        <v>45631</v>
      </c>
      <c r="B79" s="348">
        <v>214</v>
      </c>
      <c r="D79" s="349">
        <f t="shared" si="0"/>
        <v>9.0646854257648855</v>
      </c>
    </row>
    <row r="80" spans="1:4">
      <c r="A80" s="347">
        <v>45630</v>
      </c>
      <c r="B80" s="348">
        <v>215.9</v>
      </c>
      <c r="D80" s="349">
        <f t="shared" si="0"/>
        <v>9.145166277675882</v>
      </c>
    </row>
    <row r="81" spans="1:4">
      <c r="A81" s="347">
        <v>45629</v>
      </c>
      <c r="B81" s="348">
        <v>211.2</v>
      </c>
      <c r="D81" s="349">
        <f t="shared" si="0"/>
        <v>8.9460820650539432</v>
      </c>
    </row>
    <row r="82" spans="1:4">
      <c r="A82" s="347">
        <v>45628</v>
      </c>
      <c r="B82" s="348">
        <v>209</v>
      </c>
      <c r="D82" s="349">
        <f t="shared" si="0"/>
        <v>8.8528937102096315</v>
      </c>
    </row>
    <row r="83" spans="1:4">
      <c r="A83" s="347">
        <v>45627</v>
      </c>
      <c r="B83" s="348">
        <v>208.2</v>
      </c>
      <c r="D83" s="349">
        <f t="shared" si="0"/>
        <v>8.8190070357207908</v>
      </c>
    </row>
    <row r="84" spans="1:4">
      <c r="A84" s="347">
        <v>45624</v>
      </c>
      <c r="B84" s="348">
        <v>208.5</v>
      </c>
      <c r="D84" s="349">
        <f t="shared" si="0"/>
        <v>8.8317145386541061</v>
      </c>
    </row>
    <row r="85" spans="1:4">
      <c r="A85" s="347">
        <v>45623</v>
      </c>
      <c r="B85" s="348">
        <v>208.5</v>
      </c>
      <c r="D85" s="349">
        <f t="shared" si="0"/>
        <v>8.8317145386541061</v>
      </c>
    </row>
    <row r="86" spans="1:4">
      <c r="A86" s="347">
        <v>45622</v>
      </c>
      <c r="B86" s="348">
        <v>208</v>
      </c>
      <c r="D86" s="349">
        <f t="shared" si="0"/>
        <v>8.8105353670985807</v>
      </c>
    </row>
    <row r="87" spans="1:4">
      <c r="A87" s="347">
        <v>45621</v>
      </c>
      <c r="B87" s="348">
        <v>208.3</v>
      </c>
      <c r="D87" s="349">
        <f t="shared" si="0"/>
        <v>8.8232428700318959</v>
      </c>
    </row>
    <row r="88" spans="1:4">
      <c r="A88" s="347">
        <v>45620</v>
      </c>
      <c r="B88" s="348">
        <v>211.3</v>
      </c>
      <c r="D88" s="349">
        <f t="shared" si="0"/>
        <v>8.9503178993650483</v>
      </c>
    </row>
    <row r="89" spans="1:4">
      <c r="A89" s="347">
        <v>45616</v>
      </c>
      <c r="B89" s="348">
        <v>221.8</v>
      </c>
      <c r="D89" s="349">
        <f t="shared" si="0"/>
        <v>9.3950805020310835</v>
      </c>
    </row>
    <row r="90" spans="1:4">
      <c r="A90" s="347">
        <v>45615</v>
      </c>
      <c r="B90" s="348">
        <v>221</v>
      </c>
      <c r="D90" s="349">
        <f t="shared" si="0"/>
        <v>9.3611938275422411</v>
      </c>
    </row>
    <row r="91" spans="1:4">
      <c r="A91" s="347">
        <v>45614</v>
      </c>
      <c r="B91" s="348">
        <v>221.7</v>
      </c>
      <c r="D91" s="349">
        <f t="shared" si="0"/>
        <v>9.3908446677199766</v>
      </c>
    </row>
    <row r="92" spans="1:4">
      <c r="A92" s="347">
        <v>45613</v>
      </c>
      <c r="B92" s="348">
        <v>223.4</v>
      </c>
      <c r="D92" s="349">
        <f t="shared" si="0"/>
        <v>9.4628538510087647</v>
      </c>
    </row>
    <row r="93" spans="1:4">
      <c r="A93" s="347">
        <v>45610</v>
      </c>
      <c r="B93" s="348">
        <v>224.9</v>
      </c>
      <c r="D93" s="349">
        <f t="shared" si="0"/>
        <v>9.5263913656753409</v>
      </c>
    </row>
    <row r="94" spans="1:4">
      <c r="A94" s="347">
        <v>45609</v>
      </c>
      <c r="B94" s="348">
        <v>224.4</v>
      </c>
      <c r="D94" s="349">
        <f t="shared" si="0"/>
        <v>9.5052121941198155</v>
      </c>
    </row>
    <row r="95" spans="1:4">
      <c r="A95" s="347">
        <v>45608</v>
      </c>
      <c r="B95" s="348">
        <v>224</v>
      </c>
      <c r="D95" s="349">
        <f t="shared" si="0"/>
        <v>9.4882688568753935</v>
      </c>
    </row>
    <row r="96" spans="1:4">
      <c r="A96" s="347">
        <v>45607</v>
      </c>
      <c r="B96" s="348">
        <v>222.4</v>
      </c>
      <c r="D96" s="349">
        <f t="shared" si="0"/>
        <v>9.4204955078977139</v>
      </c>
    </row>
    <row r="97" spans="1:4">
      <c r="A97" s="347">
        <v>45606</v>
      </c>
      <c r="B97" s="348">
        <v>221.5</v>
      </c>
      <c r="D97" s="349">
        <f t="shared" si="0"/>
        <v>9.3823729990977665</v>
      </c>
    </row>
    <row r="98" spans="1:4">
      <c r="A98" s="347">
        <v>45603</v>
      </c>
      <c r="B98" s="348">
        <v>221.9</v>
      </c>
      <c r="D98" s="349">
        <f t="shared" si="0"/>
        <v>9.3993163363421885</v>
      </c>
    </row>
    <row r="99" spans="1:4">
      <c r="A99" s="347">
        <v>45602</v>
      </c>
      <c r="B99" s="348">
        <v>221.3</v>
      </c>
      <c r="D99" s="349">
        <f t="shared" si="0"/>
        <v>9.3739013304755581</v>
      </c>
    </row>
    <row r="100" spans="1:4">
      <c r="A100" s="347">
        <v>45601</v>
      </c>
      <c r="B100" s="348">
        <v>221.8</v>
      </c>
      <c r="D100" s="349">
        <f t="shared" si="0"/>
        <v>9.3950805020310835</v>
      </c>
    </row>
    <row r="101" spans="1:4">
      <c r="A101" s="347">
        <v>45600</v>
      </c>
      <c r="B101" s="348">
        <v>219.7</v>
      </c>
      <c r="D101" s="349">
        <f t="shared" si="0"/>
        <v>9.306127981497875</v>
      </c>
    </row>
    <row r="102" spans="1:4">
      <c r="A102" s="347">
        <v>45599</v>
      </c>
      <c r="B102" s="348">
        <v>218.6</v>
      </c>
      <c r="D102" s="349">
        <f t="shared" si="0"/>
        <v>9.2595338040757191</v>
      </c>
    </row>
    <row r="103" spans="1:4">
      <c r="A103" s="347">
        <v>45596</v>
      </c>
      <c r="B103" s="348">
        <v>217.9</v>
      </c>
      <c r="D103" s="349">
        <f t="shared" si="0"/>
        <v>9.2298829638979836</v>
      </c>
    </row>
    <row r="104" spans="1:4">
      <c r="A104" s="347">
        <v>45595</v>
      </c>
      <c r="B104" s="348">
        <v>218</v>
      </c>
      <c r="D104" s="349">
        <f t="shared" si="0"/>
        <v>9.2341187982090887</v>
      </c>
    </row>
    <row r="105" spans="1:4">
      <c r="A105" s="347">
        <v>45594</v>
      </c>
      <c r="B105" s="348">
        <v>216.5</v>
      </c>
      <c r="D105" s="349">
        <f t="shared" si="0"/>
        <v>9.1705812835425125</v>
      </c>
    </row>
    <row r="106" spans="1:4">
      <c r="A106" s="347">
        <v>45593</v>
      </c>
      <c r="B106" s="348">
        <v>215.1</v>
      </c>
      <c r="D106" s="349">
        <f t="shared" si="0"/>
        <v>9.1112796031870413</v>
      </c>
    </row>
    <row r="107" spans="1:4">
      <c r="A107" s="347">
        <v>45592</v>
      </c>
      <c r="B107" s="348">
        <v>214.1</v>
      </c>
      <c r="D107" s="349">
        <f t="shared" si="0"/>
        <v>9.0689212600759905</v>
      </c>
    </row>
    <row r="108" spans="1:4">
      <c r="A108" s="347">
        <v>45589</v>
      </c>
      <c r="B108" s="348">
        <v>217.5</v>
      </c>
      <c r="D108" s="349">
        <f t="shared" si="0"/>
        <v>9.2129396266535633</v>
      </c>
    </row>
    <row r="109" spans="1:4">
      <c r="A109" s="347">
        <v>45588</v>
      </c>
      <c r="B109" s="348">
        <v>224.5</v>
      </c>
      <c r="D109" s="349">
        <f t="shared" si="0"/>
        <v>9.5094480284309206</v>
      </c>
    </row>
    <row r="110" spans="1:4">
      <c r="A110" s="347">
        <v>45587</v>
      </c>
      <c r="B110" s="348">
        <v>224.2</v>
      </c>
      <c r="D110" s="349">
        <f t="shared" si="0"/>
        <v>9.4967405254976036</v>
      </c>
    </row>
    <row r="111" spans="1:4">
      <c r="A111" s="347">
        <v>45586</v>
      </c>
      <c r="B111" s="348">
        <v>223.7</v>
      </c>
      <c r="D111" s="349">
        <f t="shared" si="0"/>
        <v>9.4755613539420782</v>
      </c>
    </row>
    <row r="112" spans="1:4">
      <c r="A112" s="347">
        <v>45585</v>
      </c>
      <c r="B112" s="348">
        <v>223.2</v>
      </c>
      <c r="D112" s="349">
        <f t="shared" si="0"/>
        <v>9.4543821823865528</v>
      </c>
    </row>
    <row r="113" spans="1:4">
      <c r="A113" s="347">
        <v>45582</v>
      </c>
      <c r="B113" s="348">
        <v>224.1</v>
      </c>
      <c r="D113" s="349">
        <f t="shared" si="0"/>
        <v>9.4925046911864985</v>
      </c>
    </row>
    <row r="114" spans="1:4">
      <c r="A114" s="347">
        <v>45581</v>
      </c>
      <c r="B114" s="348">
        <v>225</v>
      </c>
      <c r="D114" s="349">
        <f t="shared" si="0"/>
        <v>9.530627199986446</v>
      </c>
    </row>
    <row r="115" spans="1:4">
      <c r="A115" s="347">
        <v>45580</v>
      </c>
      <c r="B115" s="348">
        <v>224.6</v>
      </c>
      <c r="D115" s="349">
        <f t="shared" si="0"/>
        <v>9.5136838627420239</v>
      </c>
    </row>
    <row r="116" spans="1:4">
      <c r="A116" s="347">
        <v>45579</v>
      </c>
      <c r="B116" s="348">
        <v>227</v>
      </c>
      <c r="D116" s="349">
        <f t="shared" si="0"/>
        <v>9.6153438862085476</v>
      </c>
    </row>
    <row r="117" spans="1:4">
      <c r="A117" s="347">
        <v>45574</v>
      </c>
      <c r="B117" s="348">
        <v>225.1</v>
      </c>
      <c r="D117" s="349">
        <f t="shared" si="0"/>
        <v>9.5348630342975493</v>
      </c>
    </row>
    <row r="118" spans="1:4">
      <c r="A118" s="347">
        <v>45573</v>
      </c>
      <c r="B118" s="348">
        <v>223.4</v>
      </c>
      <c r="D118" s="349">
        <f t="shared" si="0"/>
        <v>9.4628538510087647</v>
      </c>
    </row>
    <row r="119" spans="1:4">
      <c r="A119" s="347">
        <v>45572</v>
      </c>
      <c r="B119" s="348">
        <v>226.9</v>
      </c>
      <c r="D119" s="349">
        <f t="shared" si="0"/>
        <v>9.6111080518974426</v>
      </c>
    </row>
    <row r="120" spans="1:4">
      <c r="A120" s="347">
        <v>45571</v>
      </c>
      <c r="B120" s="348">
        <v>226.6</v>
      </c>
      <c r="D120" s="349">
        <f t="shared" si="0"/>
        <v>9.5984005489641255</v>
      </c>
    </row>
    <row r="121" spans="1:4">
      <c r="A121" s="347">
        <v>45568</v>
      </c>
      <c r="B121" s="348">
        <v>229</v>
      </c>
      <c r="D121" s="349">
        <f t="shared" si="0"/>
        <v>9.7000605724306492</v>
      </c>
    </row>
    <row r="122" spans="1:4">
      <c r="A122" s="347">
        <v>45567</v>
      </c>
      <c r="B122" s="348">
        <v>229.3</v>
      </c>
      <c r="D122" s="349">
        <f t="shared" si="0"/>
        <v>9.7127680753639645</v>
      </c>
    </row>
    <row r="123" spans="1:4">
      <c r="A123" s="347">
        <v>45566</v>
      </c>
      <c r="B123" s="348">
        <v>229.3</v>
      </c>
      <c r="D123" s="349">
        <f t="shared" si="0"/>
        <v>9.7127680753639645</v>
      </c>
    </row>
    <row r="124" spans="1:4">
      <c r="A124" s="347">
        <v>45565</v>
      </c>
      <c r="B124" s="348">
        <v>229.2</v>
      </c>
      <c r="D124" s="349">
        <f t="shared" si="0"/>
        <v>9.7085322410528576</v>
      </c>
    </row>
    <row r="125" spans="1:4">
      <c r="A125" s="347">
        <v>45564</v>
      </c>
      <c r="B125" s="348">
        <v>228.8</v>
      </c>
      <c r="D125" s="349">
        <f t="shared" si="0"/>
        <v>9.6915889038084391</v>
      </c>
    </row>
    <row r="126" spans="1:4">
      <c r="A126" s="347">
        <v>45561</v>
      </c>
      <c r="B126" s="348">
        <v>229.6</v>
      </c>
      <c r="D126" s="349">
        <f t="shared" si="0"/>
        <v>9.7254755782972797</v>
      </c>
    </row>
    <row r="127" spans="1:4">
      <c r="A127" s="347">
        <v>45560</v>
      </c>
      <c r="B127" s="348">
        <v>230</v>
      </c>
      <c r="D127" s="349">
        <f t="shared" si="0"/>
        <v>9.7424189155417</v>
      </c>
    </row>
    <row r="128" spans="1:4">
      <c r="A128" s="347">
        <v>45559</v>
      </c>
      <c r="B128" s="348">
        <v>229.3</v>
      </c>
      <c r="D128" s="349">
        <f t="shared" si="0"/>
        <v>9.7127680753639645</v>
      </c>
    </row>
    <row r="129" spans="1:4">
      <c r="A129" s="347">
        <v>45558</v>
      </c>
      <c r="B129" s="348">
        <v>229.4</v>
      </c>
      <c r="D129" s="349">
        <f t="shared" si="0"/>
        <v>9.7170039096750696</v>
      </c>
    </row>
    <row r="130" spans="1:4">
      <c r="A130" s="347">
        <v>45557</v>
      </c>
      <c r="B130" s="348">
        <v>228.7</v>
      </c>
      <c r="D130" s="349">
        <f t="shared" si="0"/>
        <v>9.6873530694973322</v>
      </c>
    </row>
    <row r="131" spans="1:4">
      <c r="A131" s="347">
        <v>45554</v>
      </c>
      <c r="B131" s="348">
        <v>230.5</v>
      </c>
      <c r="D131" s="349">
        <f t="shared" si="0"/>
        <v>9.7635980870972254</v>
      </c>
    </row>
    <row r="132" spans="1:4">
      <c r="A132" s="347">
        <v>45553</v>
      </c>
      <c r="B132" s="348">
        <v>229.9</v>
      </c>
      <c r="D132" s="349">
        <f t="shared" si="0"/>
        <v>9.738183081230595</v>
      </c>
    </row>
    <row r="133" spans="1:4">
      <c r="A133" s="347">
        <v>45552</v>
      </c>
      <c r="B133" s="348">
        <v>229.9</v>
      </c>
      <c r="D133" s="349">
        <f t="shared" si="0"/>
        <v>9.738183081230595</v>
      </c>
    </row>
    <row r="134" spans="1:4">
      <c r="A134" s="347">
        <v>45550</v>
      </c>
      <c r="B134" s="348">
        <v>229.5</v>
      </c>
      <c r="D134" s="349">
        <f t="shared" si="0"/>
        <v>9.7212397439861746</v>
      </c>
    </row>
    <row r="135" spans="1:4">
      <c r="A135" s="347">
        <v>45547</v>
      </c>
      <c r="B135" s="348">
        <v>230.8</v>
      </c>
      <c r="D135" s="349">
        <f t="shared" si="0"/>
        <v>9.7763055900305407</v>
      </c>
    </row>
    <row r="136" spans="1:4">
      <c r="A136" s="347">
        <v>45546</v>
      </c>
      <c r="B136" s="348">
        <v>231.2</v>
      </c>
      <c r="D136" s="349">
        <f t="shared" si="0"/>
        <v>9.793248927274961</v>
      </c>
    </row>
    <row r="137" spans="1:4">
      <c r="A137" s="347">
        <v>45545</v>
      </c>
      <c r="B137" s="348">
        <v>230.9</v>
      </c>
      <c r="D137" s="349">
        <f t="shared" si="0"/>
        <v>9.7805414243416458</v>
      </c>
    </row>
    <row r="138" spans="1:4">
      <c r="A138" s="347">
        <v>45544</v>
      </c>
      <c r="B138" s="348">
        <v>229.7</v>
      </c>
      <c r="D138" s="349">
        <f t="shared" si="0"/>
        <v>9.729711412608383</v>
      </c>
    </row>
    <row r="139" spans="1:4">
      <c r="A139" s="347">
        <v>45543</v>
      </c>
      <c r="B139" s="348">
        <v>229.1</v>
      </c>
      <c r="D139" s="349">
        <f t="shared" si="0"/>
        <v>9.7042964067417543</v>
      </c>
    </row>
    <row r="140" spans="1:4">
      <c r="A140" s="347">
        <v>45540</v>
      </c>
      <c r="B140" s="348">
        <v>230.5</v>
      </c>
      <c r="D140" s="349">
        <f t="shared" si="0"/>
        <v>9.7635980870972254</v>
      </c>
    </row>
    <row r="141" spans="1:4">
      <c r="A141" s="347">
        <v>45539</v>
      </c>
      <c r="B141" s="348">
        <v>231.5</v>
      </c>
      <c r="D141" s="349">
        <f t="shared" si="0"/>
        <v>9.8059564302082762</v>
      </c>
    </row>
    <row r="142" spans="1:4">
      <c r="A142" s="347">
        <v>45538</v>
      </c>
      <c r="B142" s="348">
        <v>230.8</v>
      </c>
      <c r="D142" s="349">
        <f t="shared" si="0"/>
        <v>9.7763055900305407</v>
      </c>
    </row>
    <row r="143" spans="1:4">
      <c r="A143" s="347">
        <v>45537</v>
      </c>
      <c r="B143" s="348">
        <v>230.3</v>
      </c>
      <c r="D143" s="349">
        <f t="shared" si="0"/>
        <v>9.7551264184750153</v>
      </c>
    </row>
    <row r="144" spans="1:4">
      <c r="A144" s="347">
        <v>45536</v>
      </c>
      <c r="B144" s="348">
        <v>230.5</v>
      </c>
      <c r="D144" s="349">
        <f t="shared" si="0"/>
        <v>9.7635980870972254</v>
      </c>
    </row>
    <row r="145" spans="1:4">
      <c r="A145" s="347">
        <v>45533</v>
      </c>
      <c r="B145" s="348">
        <v>233.5</v>
      </c>
      <c r="D145" s="349">
        <f t="shared" si="0"/>
        <v>9.8906731164303778</v>
      </c>
    </row>
    <row r="146" spans="1:4">
      <c r="A146" s="347">
        <v>45532</v>
      </c>
      <c r="B146" s="348">
        <v>234.5</v>
      </c>
      <c r="D146" s="349">
        <f t="shared" si="0"/>
        <v>9.9330314595414286</v>
      </c>
    </row>
    <row r="147" spans="1:4">
      <c r="A147" s="347">
        <v>45531</v>
      </c>
      <c r="B147" s="348">
        <v>233.7</v>
      </c>
      <c r="D147" s="349">
        <f t="shared" si="0"/>
        <v>9.899144785052588</v>
      </c>
    </row>
    <row r="148" spans="1:4">
      <c r="A148" s="347">
        <v>45529</v>
      </c>
      <c r="B148" s="348">
        <v>234.6</v>
      </c>
      <c r="D148" s="349">
        <f t="shared" si="0"/>
        <v>9.9372672938525337</v>
      </c>
    </row>
    <row r="149" spans="1:4">
      <c r="A149" s="347">
        <v>45526</v>
      </c>
      <c r="B149" s="348">
        <v>230.3</v>
      </c>
      <c r="D149" s="349">
        <f t="shared" si="0"/>
        <v>9.7551264184750153</v>
      </c>
    </row>
    <row r="150" spans="1:4">
      <c r="A150" s="347">
        <v>45525</v>
      </c>
      <c r="B150" s="348">
        <v>227.3</v>
      </c>
      <c r="D150" s="349">
        <f t="shared" si="0"/>
        <v>9.6280513891418629</v>
      </c>
    </row>
    <row r="151" spans="1:4">
      <c r="A151" s="347">
        <v>45524</v>
      </c>
      <c r="B151" s="348">
        <v>230</v>
      </c>
      <c r="D151" s="349">
        <f t="shared" si="0"/>
        <v>9.7424189155417</v>
      </c>
    </row>
    <row r="152" spans="1:4">
      <c r="A152" s="347">
        <v>45523</v>
      </c>
      <c r="B152" s="348">
        <v>230.4</v>
      </c>
      <c r="D152" s="349">
        <f t="shared" si="0"/>
        <v>9.7593622527861204</v>
      </c>
    </row>
    <row r="153" spans="1:4">
      <c r="A153" s="347">
        <v>45522</v>
      </c>
      <c r="B153" s="348">
        <v>228.6</v>
      </c>
      <c r="D153" s="349">
        <f t="shared" si="0"/>
        <v>9.6831172351862289</v>
      </c>
    </row>
    <row r="154" spans="1:4">
      <c r="A154" s="347">
        <v>45519</v>
      </c>
      <c r="B154" s="348">
        <v>234.9</v>
      </c>
      <c r="D154" s="349">
        <f t="shared" si="0"/>
        <v>9.949974796785849</v>
      </c>
    </row>
    <row r="155" spans="1:4">
      <c r="A155" s="347">
        <v>45518</v>
      </c>
      <c r="B155" s="348">
        <v>234.4</v>
      </c>
      <c r="D155" s="349">
        <f t="shared" si="0"/>
        <v>9.9287956252303236</v>
      </c>
    </row>
    <row r="156" spans="1:4">
      <c r="A156" s="347">
        <v>45517</v>
      </c>
      <c r="B156" s="348">
        <v>227.2</v>
      </c>
      <c r="D156" s="349">
        <f t="shared" si="0"/>
        <v>9.623815554830756</v>
      </c>
    </row>
    <row r="157" spans="1:4">
      <c r="A157" s="347">
        <v>45516</v>
      </c>
      <c r="B157" s="348">
        <v>230</v>
      </c>
      <c r="D157" s="349">
        <f t="shared" si="0"/>
        <v>9.7424189155417</v>
      </c>
    </row>
    <row r="158" spans="1:4">
      <c r="A158" s="347">
        <v>45515</v>
      </c>
      <c r="B158" s="348">
        <v>233</v>
      </c>
      <c r="D158" s="349">
        <f t="shared" si="0"/>
        <v>9.8694939448748524</v>
      </c>
    </row>
    <row r="159" spans="1:4">
      <c r="A159" s="347">
        <v>45512</v>
      </c>
      <c r="B159" s="348">
        <v>236.4</v>
      </c>
      <c r="D159" s="349">
        <f t="shared" si="0"/>
        <v>10.013512311452425</v>
      </c>
    </row>
    <row r="160" spans="1:4">
      <c r="A160" s="347">
        <v>45511</v>
      </c>
      <c r="B160" s="348">
        <v>230</v>
      </c>
      <c r="D160" s="349">
        <f t="shared" si="0"/>
        <v>9.7424189155417</v>
      </c>
    </row>
    <row r="161" spans="1:4">
      <c r="A161" s="347">
        <v>45510</v>
      </c>
      <c r="B161" s="348">
        <v>218.9</v>
      </c>
      <c r="D161" s="349">
        <f t="shared" si="0"/>
        <v>9.2722413070090344</v>
      </c>
    </row>
    <row r="162" spans="1:4">
      <c r="A162" s="347">
        <v>45508</v>
      </c>
      <c r="B162" s="348">
        <v>213.9</v>
      </c>
      <c r="D162" s="349">
        <f t="shared" si="0"/>
        <v>9.0604495914537804</v>
      </c>
    </row>
    <row r="163" spans="1:4">
      <c r="A163" s="347">
        <v>45505</v>
      </c>
      <c r="B163" s="348">
        <v>214.2</v>
      </c>
      <c r="D163" s="349">
        <f t="shared" si="0"/>
        <v>9.0731570943870956</v>
      </c>
    </row>
    <row r="164" spans="1:4">
      <c r="A164" s="347">
        <v>45504</v>
      </c>
      <c r="B164" s="348">
        <v>213</v>
      </c>
      <c r="D164" s="349">
        <f t="shared" si="0"/>
        <v>9.0223270826538347</v>
      </c>
    </row>
    <row r="165" spans="1:4">
      <c r="A165" s="347">
        <v>45503</v>
      </c>
      <c r="B165" s="348">
        <v>212.9</v>
      </c>
      <c r="D165" s="349">
        <f t="shared" si="0"/>
        <v>9.0180912483427296</v>
      </c>
    </row>
    <row r="166" spans="1:4">
      <c r="A166" s="347">
        <v>45502</v>
      </c>
      <c r="B166" s="348">
        <v>214.2</v>
      </c>
      <c r="D166" s="349">
        <f t="shared" si="0"/>
        <v>9.0731570943870956</v>
      </c>
    </row>
    <row r="167" spans="1:4">
      <c r="A167" s="347">
        <v>45501</v>
      </c>
      <c r="B167" s="348">
        <v>212.2</v>
      </c>
      <c r="D167" s="349">
        <f t="shared" si="0"/>
        <v>8.988440408164994</v>
      </c>
    </row>
    <row r="168" spans="1:4">
      <c r="A168" s="347">
        <v>45498</v>
      </c>
      <c r="B168" s="348">
        <v>212.7</v>
      </c>
      <c r="D168" s="349">
        <f t="shared" si="0"/>
        <v>9.0096195797205194</v>
      </c>
    </row>
    <row r="169" spans="1:4">
      <c r="A169" s="347">
        <v>45497</v>
      </c>
      <c r="B169" s="348">
        <v>211.5</v>
      </c>
      <c r="D169" s="349">
        <f t="shared" si="0"/>
        <v>8.9587895679872585</v>
      </c>
    </row>
    <row r="170" spans="1:4">
      <c r="A170" s="347">
        <v>45491</v>
      </c>
      <c r="B170" s="348">
        <v>215</v>
      </c>
      <c r="D170" s="349">
        <f t="shared" si="0"/>
        <v>9.1070437688759363</v>
      </c>
    </row>
    <row r="171" spans="1:4">
      <c r="A171" s="347">
        <v>45489</v>
      </c>
      <c r="B171" s="348">
        <v>214.7</v>
      </c>
      <c r="D171" s="349">
        <f t="shared" si="0"/>
        <v>9.094336265942621</v>
      </c>
    </row>
    <row r="172" spans="1:4">
      <c r="A172" s="347">
        <v>45488</v>
      </c>
      <c r="B172" s="348">
        <v>213.6</v>
      </c>
      <c r="D172" s="349">
        <f t="shared" si="0"/>
        <v>9.0477420885204651</v>
      </c>
    </row>
    <row r="173" spans="1:4">
      <c r="A173" s="347">
        <v>45487</v>
      </c>
      <c r="B173" s="348">
        <v>213.3</v>
      </c>
      <c r="D173" s="349">
        <f t="shared" si="0"/>
        <v>9.0350345855871499</v>
      </c>
    </row>
    <row r="174" spans="1:4">
      <c r="A174" s="347">
        <v>45484</v>
      </c>
      <c r="B174" s="348">
        <v>214.5</v>
      </c>
      <c r="D174" s="349">
        <f t="shared" si="0"/>
        <v>9.0858645973204109</v>
      </c>
    </row>
    <row r="175" spans="1:4">
      <c r="A175" s="347">
        <v>45483</v>
      </c>
      <c r="B175" s="348">
        <v>214.5</v>
      </c>
      <c r="D175" s="349">
        <f t="shared" si="0"/>
        <v>9.0858645973204109</v>
      </c>
    </row>
    <row r="176" spans="1:4">
      <c r="A176" s="347">
        <v>45482</v>
      </c>
      <c r="B176" s="348">
        <v>214.2</v>
      </c>
      <c r="D176" s="349">
        <f t="shared" si="0"/>
        <v>9.0731570943870956</v>
      </c>
    </row>
    <row r="177" spans="1:4">
      <c r="A177" s="347">
        <v>45481</v>
      </c>
      <c r="B177" s="348">
        <v>213.1</v>
      </c>
      <c r="D177" s="349">
        <f t="shared" si="0"/>
        <v>9.0265629169649397</v>
      </c>
    </row>
    <row r="178" spans="1:4">
      <c r="A178" s="347">
        <v>45480</v>
      </c>
      <c r="B178" s="348">
        <v>211.6</v>
      </c>
      <c r="D178" s="349">
        <f t="shared" si="0"/>
        <v>8.9630254022983635</v>
      </c>
    </row>
    <row r="179" spans="1:4">
      <c r="A179" s="347">
        <v>45477</v>
      </c>
      <c r="B179" s="348">
        <v>211.8</v>
      </c>
      <c r="D179" s="349">
        <f t="shared" si="0"/>
        <v>8.9714970709205737</v>
      </c>
    </row>
    <row r="180" spans="1:4">
      <c r="A180" s="347">
        <v>45476</v>
      </c>
      <c r="B180" s="348">
        <v>209.6</v>
      </c>
      <c r="D180" s="349">
        <f t="shared" si="0"/>
        <v>8.8783087160762619</v>
      </c>
    </row>
    <row r="181" spans="1:4">
      <c r="A181" s="347">
        <v>45475</v>
      </c>
      <c r="B181" s="348">
        <v>208.7</v>
      </c>
      <c r="D181" s="349">
        <f t="shared" si="0"/>
        <v>8.8401862072763162</v>
      </c>
    </row>
    <row r="182" spans="1:4">
      <c r="A182" s="347">
        <v>45473</v>
      </c>
      <c r="B182" s="348">
        <v>210.9</v>
      </c>
      <c r="C182" s="204">
        <v>21.411300000000001</v>
      </c>
      <c r="D182" s="349">
        <f t="shared" ref="D182:D237" si="1">B182/$C$182</f>
        <v>9.8499390508750047</v>
      </c>
    </row>
    <row r="183" spans="1:4">
      <c r="A183" s="347">
        <v>45470</v>
      </c>
      <c r="B183" s="348">
        <v>212.6</v>
      </c>
      <c r="D183" s="349">
        <f t="shared" si="1"/>
        <v>9.9293363784543676</v>
      </c>
    </row>
    <row r="184" spans="1:4">
      <c r="A184" s="347">
        <v>45469</v>
      </c>
      <c r="B184" s="348">
        <v>209.4</v>
      </c>
      <c r="D184" s="349">
        <f t="shared" si="1"/>
        <v>9.7798825853638025</v>
      </c>
    </row>
    <row r="185" spans="1:4">
      <c r="A185" s="347">
        <v>45468</v>
      </c>
      <c r="B185" s="348">
        <v>208.6</v>
      </c>
      <c r="D185" s="349">
        <f t="shared" si="1"/>
        <v>9.7425191370911612</v>
      </c>
    </row>
    <row r="186" spans="1:4">
      <c r="A186" s="347">
        <v>45467</v>
      </c>
      <c r="B186" s="348">
        <v>205.7</v>
      </c>
      <c r="D186" s="349">
        <f t="shared" si="1"/>
        <v>9.6070766371028373</v>
      </c>
    </row>
    <row r="187" spans="1:4">
      <c r="A187" s="347">
        <v>45466</v>
      </c>
      <c r="B187" s="348">
        <v>206.3</v>
      </c>
      <c r="D187" s="349">
        <f t="shared" si="1"/>
        <v>9.6350992233073196</v>
      </c>
    </row>
    <row r="188" spans="1:4">
      <c r="A188" s="347">
        <v>45463</v>
      </c>
      <c r="B188" s="348">
        <v>206.5</v>
      </c>
      <c r="D188" s="349">
        <f t="shared" si="1"/>
        <v>9.6444400853754786</v>
      </c>
    </row>
    <row r="189" spans="1:4">
      <c r="A189" s="347">
        <v>45462</v>
      </c>
      <c r="B189" s="348">
        <v>204.7</v>
      </c>
      <c r="D189" s="349">
        <f t="shared" si="1"/>
        <v>9.5603723267620353</v>
      </c>
    </row>
    <row r="190" spans="1:4">
      <c r="A190" s="347">
        <v>45456</v>
      </c>
      <c r="B190" s="348">
        <v>200</v>
      </c>
      <c r="D190" s="349">
        <f t="shared" si="1"/>
        <v>9.3408620681602699</v>
      </c>
    </row>
    <row r="191" spans="1:4">
      <c r="A191" s="347">
        <v>45455</v>
      </c>
      <c r="B191" s="348">
        <v>198.9</v>
      </c>
      <c r="D191" s="349">
        <f t="shared" si="1"/>
        <v>9.2894873267853892</v>
      </c>
    </row>
    <row r="192" spans="1:4">
      <c r="A192" s="347">
        <v>45454</v>
      </c>
      <c r="B192" s="348">
        <v>197.7</v>
      </c>
      <c r="D192" s="349">
        <f t="shared" si="1"/>
        <v>9.2334421543764265</v>
      </c>
    </row>
    <row r="193" spans="1:4">
      <c r="A193" s="347">
        <v>45453</v>
      </c>
      <c r="B193" s="348">
        <v>199.2</v>
      </c>
      <c r="D193" s="349">
        <f t="shared" si="1"/>
        <v>9.3034986198876286</v>
      </c>
    </row>
    <row r="194" spans="1:4">
      <c r="A194" s="347">
        <v>45452</v>
      </c>
      <c r="B194" s="348">
        <v>201.1</v>
      </c>
      <c r="D194" s="349">
        <f t="shared" si="1"/>
        <v>9.3922368095351523</v>
      </c>
    </row>
    <row r="195" spans="1:4">
      <c r="A195" s="347">
        <v>45449</v>
      </c>
      <c r="B195" s="348">
        <v>203.4</v>
      </c>
      <c r="D195" s="349">
        <f t="shared" si="1"/>
        <v>9.4996567233189957</v>
      </c>
    </row>
    <row r="196" spans="1:4">
      <c r="A196" s="347">
        <v>45448</v>
      </c>
      <c r="B196" s="348">
        <v>204.9</v>
      </c>
      <c r="D196" s="349">
        <f t="shared" si="1"/>
        <v>9.5697131888301978</v>
      </c>
    </row>
    <row r="197" spans="1:4">
      <c r="A197" s="347">
        <v>45447</v>
      </c>
      <c r="B197" s="348">
        <v>205.6</v>
      </c>
      <c r="D197" s="349">
        <f t="shared" si="1"/>
        <v>9.6024062060687569</v>
      </c>
    </row>
    <row r="198" spans="1:4">
      <c r="A198" s="347">
        <v>45446</v>
      </c>
      <c r="B198" s="348">
        <v>206.2</v>
      </c>
      <c r="D198" s="349">
        <f t="shared" si="1"/>
        <v>9.6304287922732374</v>
      </c>
    </row>
    <row r="199" spans="1:4">
      <c r="A199" s="347">
        <v>45445</v>
      </c>
      <c r="B199" s="348">
        <v>206</v>
      </c>
      <c r="D199" s="349">
        <f t="shared" si="1"/>
        <v>9.6210879302050785</v>
      </c>
    </row>
    <row r="200" spans="1:4">
      <c r="A200" s="347">
        <v>45442</v>
      </c>
      <c r="B200" s="348">
        <v>208.5</v>
      </c>
      <c r="D200" s="349">
        <f t="shared" si="1"/>
        <v>9.7378487060570809</v>
      </c>
    </row>
    <row r="201" spans="1:4">
      <c r="A201" s="347">
        <v>45441</v>
      </c>
      <c r="B201" s="348">
        <v>205.8</v>
      </c>
      <c r="D201" s="349">
        <f t="shared" si="1"/>
        <v>9.6117470681369177</v>
      </c>
    </row>
    <row r="202" spans="1:4">
      <c r="A202" s="347">
        <v>45440</v>
      </c>
      <c r="B202" s="348">
        <v>207.2</v>
      </c>
      <c r="D202" s="349">
        <f t="shared" si="1"/>
        <v>9.6771331026140395</v>
      </c>
    </row>
    <row r="203" spans="1:4">
      <c r="A203" s="347">
        <v>45439</v>
      </c>
      <c r="B203" s="348">
        <v>206.2</v>
      </c>
      <c r="D203" s="349">
        <f t="shared" si="1"/>
        <v>9.6304287922732374</v>
      </c>
    </row>
    <row r="204" spans="1:4">
      <c r="A204" s="347">
        <v>45438</v>
      </c>
      <c r="B204" s="348">
        <v>205.5</v>
      </c>
      <c r="D204" s="349">
        <f t="shared" si="1"/>
        <v>9.5977357750346783</v>
      </c>
    </row>
    <row r="205" spans="1:4">
      <c r="A205" s="347">
        <v>45435</v>
      </c>
      <c r="B205" s="348">
        <v>205.8</v>
      </c>
      <c r="D205" s="349">
        <f t="shared" si="1"/>
        <v>9.6117470681369177</v>
      </c>
    </row>
    <row r="206" spans="1:4">
      <c r="A206" s="347">
        <v>45433</v>
      </c>
      <c r="B206" s="348">
        <v>206</v>
      </c>
      <c r="D206" s="349">
        <f t="shared" si="1"/>
        <v>9.6210879302050785</v>
      </c>
    </row>
    <row r="207" spans="1:4">
      <c r="A207" s="347">
        <v>45432</v>
      </c>
      <c r="B207" s="348">
        <v>206.3</v>
      </c>
      <c r="D207" s="349">
        <f t="shared" si="1"/>
        <v>9.6350992233073196</v>
      </c>
    </row>
    <row r="208" spans="1:4">
      <c r="A208" s="347">
        <v>45431</v>
      </c>
      <c r="B208" s="348">
        <v>206.6</v>
      </c>
      <c r="D208" s="349">
        <f t="shared" si="1"/>
        <v>9.649110516409559</v>
      </c>
    </row>
    <row r="209" spans="1:4">
      <c r="A209" s="347">
        <v>45428</v>
      </c>
      <c r="B209" s="348">
        <v>207.8</v>
      </c>
      <c r="D209" s="349">
        <f t="shared" si="1"/>
        <v>9.7051556888185218</v>
      </c>
    </row>
    <row r="210" spans="1:4">
      <c r="A210" s="347">
        <v>45427</v>
      </c>
      <c r="B210" s="348">
        <v>207.3</v>
      </c>
      <c r="D210" s="349">
        <f t="shared" si="1"/>
        <v>9.6818035336481199</v>
      </c>
    </row>
    <row r="211" spans="1:4">
      <c r="A211" s="347">
        <v>45426</v>
      </c>
      <c r="B211" s="348">
        <v>209.5</v>
      </c>
      <c r="D211" s="349">
        <f t="shared" si="1"/>
        <v>9.7845530163978829</v>
      </c>
    </row>
    <row r="212" spans="1:4">
      <c r="A212" s="347">
        <v>45425</v>
      </c>
      <c r="B212" s="348">
        <v>211.2</v>
      </c>
      <c r="D212" s="349">
        <f t="shared" si="1"/>
        <v>9.863950343977244</v>
      </c>
    </row>
    <row r="213" spans="1:4">
      <c r="A213" s="347">
        <v>45424</v>
      </c>
      <c r="B213" s="348">
        <v>212.6</v>
      </c>
      <c r="D213" s="349">
        <f t="shared" si="1"/>
        <v>9.9293363784543676</v>
      </c>
    </row>
    <row r="214" spans="1:4">
      <c r="A214" s="347">
        <v>45421</v>
      </c>
      <c r="B214" s="348">
        <v>212.2</v>
      </c>
      <c r="D214" s="349">
        <f t="shared" si="1"/>
        <v>9.910654654318046</v>
      </c>
    </row>
    <row r="215" spans="1:4">
      <c r="A215" s="347">
        <v>45420</v>
      </c>
      <c r="B215" s="348">
        <v>213</v>
      </c>
      <c r="D215" s="349">
        <f t="shared" si="1"/>
        <v>9.9480181025906873</v>
      </c>
    </row>
    <row r="216" spans="1:4">
      <c r="A216" s="347">
        <v>45419</v>
      </c>
      <c r="B216" s="348">
        <v>213</v>
      </c>
      <c r="D216" s="349">
        <f t="shared" si="1"/>
        <v>9.9480181025906873</v>
      </c>
    </row>
    <row r="217" spans="1:4">
      <c r="A217" s="347">
        <v>45418</v>
      </c>
      <c r="B217" s="348">
        <v>211.3</v>
      </c>
      <c r="D217" s="349">
        <f t="shared" si="1"/>
        <v>9.8686207750113262</v>
      </c>
    </row>
    <row r="218" spans="1:4">
      <c r="A218" s="347">
        <v>45417</v>
      </c>
      <c r="B218" s="348">
        <v>211.5</v>
      </c>
      <c r="D218" s="349">
        <f t="shared" si="1"/>
        <v>9.8779616370794852</v>
      </c>
    </row>
    <row r="219" spans="1:4">
      <c r="A219" s="347">
        <v>45414</v>
      </c>
      <c r="B219" s="348">
        <v>210.9</v>
      </c>
      <c r="D219" s="349">
        <f t="shared" si="1"/>
        <v>9.8499390508750047</v>
      </c>
    </row>
    <row r="220" spans="1:4">
      <c r="A220" s="347">
        <v>45412</v>
      </c>
      <c r="B220" s="348">
        <v>210.9</v>
      </c>
      <c r="D220" s="349">
        <f t="shared" si="1"/>
        <v>9.8499390508750047</v>
      </c>
    </row>
    <row r="221" spans="1:4">
      <c r="A221" s="347">
        <v>45411</v>
      </c>
      <c r="B221" s="348">
        <v>208</v>
      </c>
      <c r="D221" s="349">
        <f t="shared" si="1"/>
        <v>9.7144965508866807</v>
      </c>
    </row>
    <row r="222" spans="1:4">
      <c r="A222" s="347">
        <v>45410</v>
      </c>
      <c r="B222" s="348">
        <v>210.3</v>
      </c>
      <c r="D222" s="349">
        <f t="shared" si="1"/>
        <v>9.8219164646705241</v>
      </c>
    </row>
    <row r="223" spans="1:4">
      <c r="A223" s="347">
        <v>45407</v>
      </c>
      <c r="B223" s="348">
        <v>207.7</v>
      </c>
      <c r="D223" s="349">
        <f t="shared" si="1"/>
        <v>9.7004852577844396</v>
      </c>
    </row>
    <row r="224" spans="1:4">
      <c r="A224" s="347">
        <v>45406</v>
      </c>
      <c r="B224" s="348">
        <v>212.1</v>
      </c>
      <c r="D224" s="349">
        <f t="shared" si="1"/>
        <v>9.9059842232839657</v>
      </c>
    </row>
    <row r="225" spans="1:4">
      <c r="A225" s="347">
        <v>45405</v>
      </c>
      <c r="B225" s="348">
        <v>212.7</v>
      </c>
      <c r="D225" s="349">
        <f t="shared" si="1"/>
        <v>9.9340068094884462</v>
      </c>
    </row>
    <row r="226" spans="1:4">
      <c r="A226" s="347">
        <v>45404</v>
      </c>
      <c r="B226" s="348">
        <v>212.7</v>
      </c>
      <c r="D226" s="349">
        <f t="shared" si="1"/>
        <v>9.9340068094884462</v>
      </c>
    </row>
    <row r="227" spans="1:4">
      <c r="A227" s="347">
        <v>45403</v>
      </c>
      <c r="B227" s="348">
        <v>213</v>
      </c>
      <c r="D227" s="349">
        <f t="shared" si="1"/>
        <v>9.9480181025906873</v>
      </c>
    </row>
    <row r="228" spans="1:4">
      <c r="A228" s="347">
        <v>45400</v>
      </c>
      <c r="B228" s="348">
        <v>214.1</v>
      </c>
      <c r="D228" s="349">
        <f t="shared" si="1"/>
        <v>9.9993928439655697</v>
      </c>
    </row>
    <row r="229" spans="1:4">
      <c r="A229" s="347">
        <v>45399</v>
      </c>
      <c r="B229" s="348">
        <v>214.7</v>
      </c>
      <c r="D229" s="349">
        <f t="shared" si="1"/>
        <v>10.02741543017005</v>
      </c>
    </row>
    <row r="230" spans="1:4">
      <c r="A230" s="347">
        <v>45398</v>
      </c>
      <c r="B230" s="348">
        <v>215.1</v>
      </c>
      <c r="D230" s="349">
        <f t="shared" si="1"/>
        <v>10.04609715430637</v>
      </c>
    </row>
    <row r="231" spans="1:4">
      <c r="A231" s="347">
        <v>45397</v>
      </c>
      <c r="B231" s="348">
        <v>216</v>
      </c>
      <c r="D231" s="349">
        <f t="shared" si="1"/>
        <v>10.088131033613092</v>
      </c>
    </row>
    <row r="232" spans="1:4">
      <c r="A232" s="347">
        <v>45391</v>
      </c>
      <c r="B232" s="348">
        <v>217.5</v>
      </c>
      <c r="D232" s="349">
        <f t="shared" si="1"/>
        <v>10.158187499124294</v>
      </c>
    </row>
    <row r="233" spans="1:4">
      <c r="A233" s="347">
        <v>45390</v>
      </c>
      <c r="B233" s="348">
        <v>218.2</v>
      </c>
      <c r="D233" s="349">
        <f t="shared" si="1"/>
        <v>10.190880516362855</v>
      </c>
    </row>
    <row r="234" spans="1:4">
      <c r="A234" s="347">
        <v>45386</v>
      </c>
      <c r="B234" s="348">
        <v>217.8</v>
      </c>
      <c r="D234" s="349">
        <f t="shared" si="1"/>
        <v>10.172198792226535</v>
      </c>
    </row>
    <row r="235" spans="1:4">
      <c r="A235" s="347">
        <v>45385</v>
      </c>
      <c r="B235" s="348">
        <v>217.8</v>
      </c>
      <c r="D235" s="349">
        <f t="shared" si="1"/>
        <v>10.172198792226535</v>
      </c>
    </row>
    <row r="236" spans="1:4">
      <c r="A236" s="347">
        <v>45384</v>
      </c>
      <c r="B236" s="348">
        <v>217.9</v>
      </c>
      <c r="D236" s="349">
        <f t="shared" si="1"/>
        <v>10.176869223260615</v>
      </c>
    </row>
    <row r="237" spans="1:4">
      <c r="A237" s="347">
        <v>45383</v>
      </c>
      <c r="B237" s="348">
        <v>218</v>
      </c>
      <c r="D237" s="349">
        <f t="shared" si="1"/>
        <v>10.181539654294694</v>
      </c>
    </row>
    <row r="238" spans="1:4">
      <c r="D238" s="349"/>
    </row>
    <row r="239" spans="1:4">
      <c r="D239" s="349"/>
    </row>
    <row r="240" spans="1:4">
      <c r="D240" s="349"/>
    </row>
    <row r="241" spans="4:4">
      <c r="D241" s="349"/>
    </row>
    <row r="242" spans="4:4">
      <c r="D242" s="349"/>
    </row>
    <row r="243" spans="4:4">
      <c r="D243" s="349"/>
    </row>
    <row r="244" spans="4:4">
      <c r="D244" s="349"/>
    </row>
    <row r="245" spans="4:4">
      <c r="D245" s="349"/>
    </row>
    <row r="246" spans="4:4">
      <c r="D246" s="349"/>
    </row>
    <row r="247" spans="4:4">
      <c r="D247" s="349"/>
    </row>
    <row r="248" spans="4:4">
      <c r="D248" s="349"/>
    </row>
    <row r="249" spans="4:4">
      <c r="D249" s="349"/>
    </row>
    <row r="250" spans="4:4">
      <c r="D250" s="349"/>
    </row>
    <row r="251" spans="4:4">
      <c r="D251" s="349"/>
    </row>
    <row r="252" spans="4:4">
      <c r="D252" s="349"/>
    </row>
    <row r="253" spans="4:4">
      <c r="D253" s="349"/>
    </row>
    <row r="254" spans="4:4">
      <c r="D254" s="349"/>
    </row>
    <row r="255" spans="4:4">
      <c r="D255" s="349"/>
    </row>
    <row r="256" spans="4:4">
      <c r="D256" s="349"/>
    </row>
    <row r="257" spans="4:4">
      <c r="D257" s="349"/>
    </row>
    <row r="258" spans="4:4">
      <c r="D258" s="349"/>
    </row>
    <row r="259" spans="4:4">
      <c r="D259" s="349"/>
    </row>
    <row r="260" spans="4:4">
      <c r="D260" s="349"/>
    </row>
    <row r="261" spans="4:4">
      <c r="D261" s="349"/>
    </row>
    <row r="262" spans="4:4">
      <c r="D262" s="349"/>
    </row>
    <row r="263" spans="4:4">
      <c r="D263" s="349"/>
    </row>
    <row r="264" spans="4:4">
      <c r="D264" s="349"/>
    </row>
    <row r="265" spans="4:4">
      <c r="D265" s="349"/>
    </row>
    <row r="266" spans="4:4">
      <c r="D266" s="349"/>
    </row>
    <row r="267" spans="4:4">
      <c r="D267" s="349"/>
    </row>
    <row r="268" spans="4:4">
      <c r="D268" s="349"/>
    </row>
    <row r="269" spans="4:4">
      <c r="D269" s="349"/>
    </row>
    <row r="270" spans="4:4">
      <c r="D270" s="349"/>
    </row>
    <row r="271" spans="4:4">
      <c r="D271" s="349"/>
    </row>
    <row r="272" spans="4:4">
      <c r="D272" s="349"/>
    </row>
    <row r="273" spans="4:4">
      <c r="D273" s="349"/>
    </row>
    <row r="274" spans="4:4">
      <c r="D274" s="349"/>
    </row>
    <row r="275" spans="4:4">
      <c r="D275" s="349"/>
    </row>
    <row r="276" spans="4:4">
      <c r="D276" s="349"/>
    </row>
    <row r="277" spans="4:4">
      <c r="D277" s="349"/>
    </row>
    <row r="278" spans="4:4">
      <c r="D278" s="349"/>
    </row>
    <row r="279" spans="4:4">
      <c r="D279" s="349"/>
    </row>
    <row r="280" spans="4:4">
      <c r="D280" s="349"/>
    </row>
    <row r="281" spans="4:4">
      <c r="D281" s="349"/>
    </row>
    <row r="282" spans="4:4">
      <c r="D282" s="349"/>
    </row>
    <row r="283" spans="4:4">
      <c r="D283" s="349"/>
    </row>
    <row r="284" spans="4:4">
      <c r="D284" s="349"/>
    </row>
    <row r="285" spans="4:4">
      <c r="D285" s="349"/>
    </row>
    <row r="286" spans="4:4">
      <c r="D286" s="349"/>
    </row>
    <row r="287" spans="4:4">
      <c r="D287" s="349"/>
    </row>
    <row r="288" spans="4:4">
      <c r="D288" s="349"/>
    </row>
    <row r="289" spans="4:4">
      <c r="D289" s="349"/>
    </row>
    <row r="290" spans="4:4">
      <c r="D290" s="349"/>
    </row>
    <row r="291" spans="4:4">
      <c r="D291" s="349"/>
    </row>
    <row r="292" spans="4:4">
      <c r="D292" s="349"/>
    </row>
    <row r="293" spans="4:4">
      <c r="D293" s="349"/>
    </row>
    <row r="294" spans="4:4">
      <c r="D294" s="349"/>
    </row>
    <row r="295" spans="4:4">
      <c r="D295" s="349"/>
    </row>
    <row r="296" spans="4:4">
      <c r="D296" s="349"/>
    </row>
    <row r="297" spans="4:4">
      <c r="D297" s="349"/>
    </row>
    <row r="298" spans="4:4">
      <c r="D298" s="349"/>
    </row>
    <row r="299" spans="4:4">
      <c r="D299" s="349"/>
    </row>
    <row r="300" spans="4:4">
      <c r="D300" s="349"/>
    </row>
    <row r="301" spans="4:4">
      <c r="D301" s="349"/>
    </row>
    <row r="302" spans="4:4">
      <c r="D302" s="349"/>
    </row>
    <row r="303" spans="4:4">
      <c r="D303" s="349"/>
    </row>
    <row r="304" spans="4:4">
      <c r="D304" s="349"/>
    </row>
    <row r="305" spans="4:4">
      <c r="D305" s="349"/>
    </row>
    <row r="306" spans="4:4">
      <c r="D306" s="349"/>
    </row>
    <row r="307" spans="4:4">
      <c r="D307" s="349"/>
    </row>
    <row r="308" spans="4:4">
      <c r="D308" s="349"/>
    </row>
    <row r="309" spans="4:4">
      <c r="D309" s="349"/>
    </row>
    <row r="310" spans="4:4">
      <c r="D310" s="349"/>
    </row>
    <row r="311" spans="4:4">
      <c r="D311" s="349"/>
    </row>
    <row r="312" spans="4:4">
      <c r="D312" s="349"/>
    </row>
    <row r="313" spans="4:4">
      <c r="D313" s="349"/>
    </row>
    <row r="314" spans="4:4">
      <c r="D314" s="349"/>
    </row>
    <row r="315" spans="4:4">
      <c r="D315" s="349"/>
    </row>
    <row r="316" spans="4:4">
      <c r="D316" s="349"/>
    </row>
    <row r="317" spans="4:4">
      <c r="D317" s="349"/>
    </row>
    <row r="318" spans="4:4">
      <c r="D318" s="349"/>
    </row>
    <row r="319" spans="4:4">
      <c r="D319" s="349"/>
    </row>
    <row r="320" spans="4:4">
      <c r="D320" s="349"/>
    </row>
    <row r="321" spans="4:4">
      <c r="D321" s="349"/>
    </row>
    <row r="322" spans="4:4">
      <c r="D322" s="349"/>
    </row>
    <row r="323" spans="4:4">
      <c r="D323" s="349"/>
    </row>
    <row r="324" spans="4:4">
      <c r="D324" s="349"/>
    </row>
    <row r="325" spans="4:4">
      <c r="D325" s="349"/>
    </row>
    <row r="326" spans="4:4">
      <c r="D326" s="349"/>
    </row>
    <row r="327" spans="4:4">
      <c r="D327" s="349"/>
    </row>
    <row r="328" spans="4:4">
      <c r="D328" s="349"/>
    </row>
    <row r="329" spans="4:4">
      <c r="D329" s="349"/>
    </row>
    <row r="330" spans="4:4">
      <c r="D330" s="349"/>
    </row>
    <row r="331" spans="4:4">
      <c r="D331" s="349"/>
    </row>
    <row r="332" spans="4:4">
      <c r="D332" s="349"/>
    </row>
    <row r="333" spans="4:4">
      <c r="D333" s="349"/>
    </row>
    <row r="334" spans="4:4">
      <c r="D334" s="349"/>
    </row>
    <row r="335" spans="4:4">
      <c r="D335" s="349"/>
    </row>
    <row r="336" spans="4:4">
      <c r="D336" s="349"/>
    </row>
    <row r="337" spans="4:4">
      <c r="D337" s="349"/>
    </row>
    <row r="338" spans="4:4">
      <c r="D338" s="349"/>
    </row>
    <row r="339" spans="4:4">
      <c r="D339" s="349"/>
    </row>
    <row r="340" spans="4:4">
      <c r="D340" s="349"/>
    </row>
    <row r="341" spans="4:4">
      <c r="D341" s="349"/>
    </row>
    <row r="342" spans="4:4">
      <c r="D342" s="349"/>
    </row>
    <row r="343" spans="4:4">
      <c r="D343" s="349"/>
    </row>
    <row r="344" spans="4:4">
      <c r="D344" s="349"/>
    </row>
    <row r="345" spans="4:4">
      <c r="D345" s="349"/>
    </row>
    <row r="346" spans="4:4">
      <c r="D346" s="349"/>
    </row>
    <row r="347" spans="4:4">
      <c r="D347" s="349"/>
    </row>
    <row r="348" spans="4:4">
      <c r="D348" s="349"/>
    </row>
    <row r="349" spans="4:4">
      <c r="D349" s="349"/>
    </row>
    <row r="350" spans="4:4">
      <c r="D350" s="349"/>
    </row>
    <row r="351" spans="4:4">
      <c r="D351" s="349"/>
    </row>
    <row r="352" spans="4:4">
      <c r="D352" s="349"/>
    </row>
    <row r="353" spans="4:4">
      <c r="D353" s="349"/>
    </row>
    <row r="354" spans="4:4">
      <c r="D354" s="349"/>
    </row>
    <row r="355" spans="4:4">
      <c r="D355" s="349"/>
    </row>
    <row r="356" spans="4:4">
      <c r="D356" s="349"/>
    </row>
    <row r="357" spans="4:4">
      <c r="D357" s="349"/>
    </row>
    <row r="358" spans="4:4">
      <c r="D358" s="349"/>
    </row>
    <row r="359" spans="4:4">
      <c r="D359" s="349"/>
    </row>
    <row r="360" spans="4:4">
      <c r="D360" s="349"/>
    </row>
    <row r="361" spans="4:4">
      <c r="D361" s="349"/>
    </row>
    <row r="362" spans="4:4">
      <c r="D362" s="349"/>
    </row>
    <row r="363" spans="4:4">
      <c r="D363" s="349"/>
    </row>
    <row r="364" spans="4:4">
      <c r="D364" s="349"/>
    </row>
    <row r="365" spans="4:4">
      <c r="D365" s="349"/>
    </row>
    <row r="366" spans="4:4">
      <c r="D366" s="349"/>
    </row>
    <row r="367" spans="4:4">
      <c r="D367" s="349"/>
    </row>
    <row r="368" spans="4:4">
      <c r="D368" s="349"/>
    </row>
    <row r="369" spans="4:4">
      <c r="D369" s="349"/>
    </row>
    <row r="370" spans="4:4">
      <c r="D370" s="349"/>
    </row>
    <row r="371" spans="4:4">
      <c r="D371" s="349"/>
    </row>
    <row r="372" spans="4:4">
      <c r="D372" s="349"/>
    </row>
    <row r="373" spans="4:4">
      <c r="D373" s="349"/>
    </row>
    <row r="374" spans="4:4">
      <c r="D374" s="349"/>
    </row>
    <row r="375" spans="4:4">
      <c r="D375" s="349"/>
    </row>
    <row r="376" spans="4:4">
      <c r="D376" s="349"/>
    </row>
    <row r="377" spans="4:4">
      <c r="D377" s="349"/>
    </row>
    <row r="378" spans="4:4">
      <c r="D378" s="349"/>
    </row>
    <row r="379" spans="4:4">
      <c r="D379" s="349"/>
    </row>
    <row r="380" spans="4:4">
      <c r="D380" s="349"/>
    </row>
    <row r="381" spans="4:4">
      <c r="D381" s="349"/>
    </row>
    <row r="382" spans="4:4">
      <c r="D382" s="349"/>
    </row>
    <row r="383" spans="4:4">
      <c r="D383" s="349"/>
    </row>
    <row r="384" spans="4:4">
      <c r="D384" s="349"/>
    </row>
    <row r="385" spans="4:4">
      <c r="D385" s="349"/>
    </row>
    <row r="386" spans="4:4">
      <c r="D386" s="349"/>
    </row>
    <row r="387" spans="4:4">
      <c r="D387" s="349"/>
    </row>
    <row r="388" spans="4:4">
      <c r="D388" s="349"/>
    </row>
    <row r="389" spans="4:4">
      <c r="D389" s="349"/>
    </row>
    <row r="390" spans="4:4">
      <c r="D390" s="349"/>
    </row>
    <row r="391" spans="4:4">
      <c r="D391" s="349"/>
    </row>
    <row r="392" spans="4:4">
      <c r="D392" s="349"/>
    </row>
    <row r="393" spans="4:4">
      <c r="D393" s="349"/>
    </row>
    <row r="394" spans="4:4">
      <c r="D394" s="349"/>
    </row>
    <row r="395" spans="4:4">
      <c r="D395" s="349"/>
    </row>
    <row r="396" spans="4:4">
      <c r="D396" s="349"/>
    </row>
    <row r="397" spans="4:4">
      <c r="D397" s="349"/>
    </row>
    <row r="398" spans="4:4">
      <c r="D398" s="349"/>
    </row>
    <row r="399" spans="4:4">
      <c r="D399" s="349"/>
    </row>
    <row r="400" spans="4:4">
      <c r="D400" s="349"/>
    </row>
    <row r="401" spans="4:4">
      <c r="D401" s="349"/>
    </row>
    <row r="402" spans="4:4">
      <c r="D402" s="349"/>
    </row>
    <row r="403" spans="4:4">
      <c r="D403" s="349"/>
    </row>
    <row r="404" spans="4:4">
      <c r="D404" s="349"/>
    </row>
    <row r="405" spans="4:4">
      <c r="D405" s="349"/>
    </row>
    <row r="406" spans="4:4">
      <c r="D406" s="349"/>
    </row>
    <row r="407" spans="4:4">
      <c r="D407" s="349"/>
    </row>
    <row r="408" spans="4:4">
      <c r="D408" s="349"/>
    </row>
    <row r="409" spans="4:4">
      <c r="D409" s="349"/>
    </row>
    <row r="410" spans="4:4">
      <c r="D410" s="349"/>
    </row>
    <row r="411" spans="4:4">
      <c r="D411" s="349"/>
    </row>
    <row r="412" spans="4:4">
      <c r="D412" s="349"/>
    </row>
    <row r="413" spans="4:4">
      <c r="D413" s="349"/>
    </row>
    <row r="414" spans="4:4">
      <c r="D414" s="349"/>
    </row>
    <row r="415" spans="4:4">
      <c r="D415" s="349"/>
    </row>
    <row r="416" spans="4:4">
      <c r="D416" s="349"/>
    </row>
    <row r="417" spans="4:4">
      <c r="D417" s="349"/>
    </row>
    <row r="418" spans="4:4">
      <c r="D418" s="349"/>
    </row>
    <row r="419" spans="4:4">
      <c r="D419" s="349"/>
    </row>
    <row r="420" spans="4:4">
      <c r="D420" s="349"/>
    </row>
    <row r="421" spans="4:4">
      <c r="D421" s="349"/>
    </row>
    <row r="422" spans="4:4">
      <c r="D422" s="349"/>
    </row>
    <row r="423" spans="4:4">
      <c r="D423" s="349"/>
    </row>
    <row r="424" spans="4:4">
      <c r="D424" s="349"/>
    </row>
    <row r="425" spans="4:4">
      <c r="D425" s="349"/>
    </row>
    <row r="426" spans="4:4">
      <c r="D426" s="349"/>
    </row>
    <row r="427" spans="4:4">
      <c r="D427" s="349"/>
    </row>
    <row r="428" spans="4:4">
      <c r="D428" s="349"/>
    </row>
    <row r="429" spans="4:4">
      <c r="D429" s="349"/>
    </row>
    <row r="430" spans="4:4">
      <c r="D430" s="349"/>
    </row>
    <row r="431" spans="4:4">
      <c r="D431" s="349"/>
    </row>
    <row r="432" spans="4:4">
      <c r="D432" s="349"/>
    </row>
    <row r="433" spans="4:4">
      <c r="D433" s="349"/>
    </row>
    <row r="434" spans="4:4">
      <c r="D434" s="349"/>
    </row>
    <row r="435" spans="4:4">
      <c r="D435" s="349"/>
    </row>
    <row r="436" spans="4:4">
      <c r="D436" s="349"/>
    </row>
    <row r="437" spans="4:4">
      <c r="D437" s="349"/>
    </row>
    <row r="438" spans="4:4">
      <c r="D438" s="349"/>
    </row>
    <row r="439" spans="4:4">
      <c r="D439" s="349"/>
    </row>
    <row r="440" spans="4:4">
      <c r="D440" s="349"/>
    </row>
    <row r="441" spans="4:4">
      <c r="D441" s="349"/>
    </row>
    <row r="442" spans="4:4">
      <c r="D442" s="349"/>
    </row>
    <row r="443" spans="4:4">
      <c r="D443" s="349"/>
    </row>
    <row r="444" spans="4:4">
      <c r="D444" s="349"/>
    </row>
    <row r="445" spans="4:4">
      <c r="D445" s="349"/>
    </row>
    <row r="446" spans="4:4">
      <c r="D446" s="349"/>
    </row>
    <row r="447" spans="4:4">
      <c r="D447" s="349"/>
    </row>
    <row r="448" spans="4:4">
      <c r="D448" s="349"/>
    </row>
    <row r="449" spans="4:4">
      <c r="D449" s="349"/>
    </row>
    <row r="450" spans="4:4">
      <c r="D450" s="349"/>
    </row>
    <row r="451" spans="4:4">
      <c r="D451" s="349"/>
    </row>
    <row r="452" spans="4:4">
      <c r="D452" s="349"/>
    </row>
    <row r="453" spans="4:4">
      <c r="D453" s="349"/>
    </row>
    <row r="454" spans="4:4">
      <c r="D454" s="349"/>
    </row>
    <row r="455" spans="4:4">
      <c r="D455" s="349"/>
    </row>
    <row r="456" spans="4:4">
      <c r="D456" s="349"/>
    </row>
    <row r="457" spans="4:4">
      <c r="D457" s="349"/>
    </row>
    <row r="458" spans="4:4">
      <c r="D458" s="349"/>
    </row>
    <row r="459" spans="4:4">
      <c r="D459" s="349"/>
    </row>
    <row r="460" spans="4:4">
      <c r="D460" s="349"/>
    </row>
    <row r="461" spans="4:4">
      <c r="D461" s="349"/>
    </row>
    <row r="462" spans="4:4">
      <c r="D462" s="349"/>
    </row>
    <row r="463" spans="4:4">
      <c r="D463" s="349"/>
    </row>
    <row r="464" spans="4:4">
      <c r="D464" s="349"/>
    </row>
    <row r="465" spans="4:4">
      <c r="D465" s="349"/>
    </row>
    <row r="466" spans="4:4">
      <c r="D466" s="349"/>
    </row>
    <row r="467" spans="4:4">
      <c r="D467" s="349"/>
    </row>
    <row r="468" spans="4:4">
      <c r="D468" s="349"/>
    </row>
    <row r="469" spans="4:4">
      <c r="D469" s="349"/>
    </row>
    <row r="470" spans="4:4">
      <c r="D470" s="349"/>
    </row>
    <row r="471" spans="4:4">
      <c r="D471" s="349"/>
    </row>
    <row r="472" spans="4:4">
      <c r="D472" s="349"/>
    </row>
    <row r="473" spans="4:4">
      <c r="D473" s="349"/>
    </row>
    <row r="474" spans="4:4">
      <c r="D474" s="349"/>
    </row>
    <row r="475" spans="4:4">
      <c r="D475" s="349"/>
    </row>
    <row r="476" spans="4:4">
      <c r="D476" s="349"/>
    </row>
    <row r="477" spans="4:4">
      <c r="D477" s="349"/>
    </row>
    <row r="478" spans="4:4">
      <c r="D478" s="349"/>
    </row>
    <row r="479" spans="4:4">
      <c r="D479" s="349"/>
    </row>
    <row r="480" spans="4:4">
      <c r="D480" s="349"/>
    </row>
    <row r="481" spans="4:4">
      <c r="D481" s="349"/>
    </row>
    <row r="482" spans="4:4">
      <c r="D482" s="349"/>
    </row>
    <row r="483" spans="4:4">
      <c r="D483" s="349"/>
    </row>
    <row r="484" spans="4:4">
      <c r="D484" s="349"/>
    </row>
    <row r="485" spans="4:4">
      <c r="D485" s="349"/>
    </row>
    <row r="486" spans="4:4">
      <c r="D486" s="349"/>
    </row>
    <row r="487" spans="4:4">
      <c r="D487" s="349"/>
    </row>
    <row r="488" spans="4:4">
      <c r="D488" s="349"/>
    </row>
    <row r="489" spans="4:4">
      <c r="D489" s="349"/>
    </row>
    <row r="490" spans="4:4">
      <c r="D490" s="349"/>
    </row>
    <row r="491" spans="4:4">
      <c r="D491" s="349"/>
    </row>
    <row r="492" spans="4:4">
      <c r="D492" s="349"/>
    </row>
    <row r="493" spans="4:4">
      <c r="D493" s="349"/>
    </row>
    <row r="494" spans="4:4">
      <c r="D494" s="349"/>
    </row>
    <row r="495" spans="4:4">
      <c r="D495" s="349"/>
    </row>
    <row r="496" spans="4:4">
      <c r="D496" s="349"/>
    </row>
    <row r="497" spans="4:4">
      <c r="D497" s="349"/>
    </row>
    <row r="498" spans="4:4">
      <c r="D498" s="349"/>
    </row>
    <row r="499" spans="4:4">
      <c r="D499" s="349"/>
    </row>
    <row r="500" spans="4:4">
      <c r="D500" s="349"/>
    </row>
    <row r="501" spans="4:4">
      <c r="D501" s="349"/>
    </row>
    <row r="502" spans="4:4">
      <c r="D502" s="349"/>
    </row>
    <row r="503" spans="4:4">
      <c r="D503" s="349"/>
    </row>
    <row r="504" spans="4:4">
      <c r="D504" s="349"/>
    </row>
    <row r="505" spans="4:4">
      <c r="D505" s="349"/>
    </row>
    <row r="506" spans="4:4">
      <c r="D506" s="349"/>
    </row>
    <row r="507" spans="4:4">
      <c r="D507" s="349"/>
    </row>
    <row r="508" spans="4:4">
      <c r="D508" s="349"/>
    </row>
    <row r="509" spans="4:4">
      <c r="D509" s="349"/>
    </row>
    <row r="510" spans="4:4">
      <c r="D510" s="349"/>
    </row>
    <row r="511" spans="4:4">
      <c r="D511" s="349"/>
    </row>
    <row r="512" spans="4:4">
      <c r="D512" s="349"/>
    </row>
    <row r="513" spans="4:4">
      <c r="D513" s="349"/>
    </row>
    <row r="514" spans="4:4">
      <c r="D514" s="349"/>
    </row>
    <row r="515" spans="4:4">
      <c r="D515" s="349"/>
    </row>
    <row r="516" spans="4:4">
      <c r="D516" s="349"/>
    </row>
    <row r="517" spans="4:4">
      <c r="D517" s="349"/>
    </row>
    <row r="518" spans="4:4">
      <c r="D518" s="349"/>
    </row>
    <row r="519" spans="4:4">
      <c r="D519" s="349"/>
    </row>
    <row r="520" spans="4:4">
      <c r="D520" s="349"/>
    </row>
    <row r="521" spans="4:4">
      <c r="D521" s="349"/>
    </row>
    <row r="522" spans="4:4">
      <c r="D522" s="349"/>
    </row>
    <row r="523" spans="4:4">
      <c r="D523" s="349"/>
    </row>
    <row r="524" spans="4:4">
      <c r="D524" s="349"/>
    </row>
    <row r="525" spans="4:4">
      <c r="D525" s="349"/>
    </row>
    <row r="526" spans="4:4">
      <c r="D526" s="349"/>
    </row>
    <row r="527" spans="4:4">
      <c r="D527" s="349"/>
    </row>
    <row r="528" spans="4:4">
      <c r="D528" s="349"/>
    </row>
    <row r="529" spans="4:4">
      <c r="D529" s="349"/>
    </row>
    <row r="530" spans="4:4">
      <c r="D530" s="349"/>
    </row>
    <row r="531" spans="4:4">
      <c r="D531" s="349"/>
    </row>
    <row r="532" spans="4:4">
      <c r="D532" s="349"/>
    </row>
    <row r="533" spans="4:4">
      <c r="D533" s="349"/>
    </row>
    <row r="534" spans="4:4">
      <c r="D534" s="349"/>
    </row>
    <row r="535" spans="4:4">
      <c r="D535" s="349"/>
    </row>
    <row r="536" spans="4:4">
      <c r="D536" s="349"/>
    </row>
    <row r="537" spans="4:4">
      <c r="D537" s="349"/>
    </row>
    <row r="538" spans="4:4">
      <c r="D538" s="349"/>
    </row>
    <row r="539" spans="4:4">
      <c r="D539" s="349"/>
    </row>
    <row r="540" spans="4:4">
      <c r="D540" s="349"/>
    </row>
    <row r="541" spans="4:4">
      <c r="D541" s="349"/>
    </row>
    <row r="542" spans="4:4">
      <c r="D542" s="349"/>
    </row>
    <row r="543" spans="4:4">
      <c r="D543" s="349"/>
    </row>
    <row r="544" spans="4:4">
      <c r="D544" s="349"/>
    </row>
    <row r="545" spans="4:4">
      <c r="D545" s="349"/>
    </row>
    <row r="546" spans="4:4">
      <c r="D546" s="349"/>
    </row>
    <row r="547" spans="4:4">
      <c r="D547" s="349"/>
    </row>
    <row r="548" spans="4:4">
      <c r="D548" s="349"/>
    </row>
    <row r="549" spans="4:4">
      <c r="D549" s="349"/>
    </row>
    <row r="550" spans="4:4">
      <c r="D550" s="349"/>
    </row>
    <row r="551" spans="4:4">
      <c r="D551" s="349"/>
    </row>
    <row r="552" spans="4:4">
      <c r="D552" s="349"/>
    </row>
    <row r="553" spans="4:4">
      <c r="D553" s="349"/>
    </row>
    <row r="554" spans="4:4">
      <c r="D554" s="349"/>
    </row>
    <row r="555" spans="4:4">
      <c r="D555" s="349"/>
    </row>
    <row r="556" spans="4:4">
      <c r="D556" s="349"/>
    </row>
    <row r="557" spans="4:4">
      <c r="D557" s="349"/>
    </row>
    <row r="558" spans="4:4">
      <c r="D558" s="349"/>
    </row>
    <row r="559" spans="4:4">
      <c r="D559" s="349"/>
    </row>
    <row r="560" spans="4:4">
      <c r="D560" s="349"/>
    </row>
    <row r="561" spans="4:4">
      <c r="D561" s="349"/>
    </row>
    <row r="562" spans="4:4">
      <c r="D562" s="349"/>
    </row>
    <row r="563" spans="4:4">
      <c r="D563" s="349"/>
    </row>
    <row r="564" spans="4:4">
      <c r="D564" s="349"/>
    </row>
    <row r="565" spans="4:4">
      <c r="D565" s="349"/>
    </row>
    <row r="566" spans="4:4">
      <c r="D566" s="349"/>
    </row>
    <row r="567" spans="4:4">
      <c r="D567" s="349"/>
    </row>
    <row r="568" spans="4:4">
      <c r="D568" s="349"/>
    </row>
    <row r="569" spans="4:4">
      <c r="D569" s="349"/>
    </row>
    <row r="570" spans="4:4">
      <c r="D570" s="349"/>
    </row>
    <row r="571" spans="4:4">
      <c r="D571" s="349"/>
    </row>
    <row r="572" spans="4:4">
      <c r="D572" s="349"/>
    </row>
    <row r="573" spans="4:4">
      <c r="D573" s="349"/>
    </row>
    <row r="574" spans="4:4">
      <c r="D574" s="349"/>
    </row>
    <row r="575" spans="4:4">
      <c r="D575" s="349"/>
    </row>
    <row r="576" spans="4:4">
      <c r="D576" s="349"/>
    </row>
    <row r="577" spans="4:4">
      <c r="D577" s="349"/>
    </row>
    <row r="578" spans="4:4">
      <c r="D578" s="349"/>
    </row>
    <row r="579" spans="4:4">
      <c r="D579" s="349"/>
    </row>
    <row r="580" spans="4:4">
      <c r="D580" s="349"/>
    </row>
    <row r="581" spans="4:4">
      <c r="D581" s="349"/>
    </row>
    <row r="582" spans="4:4">
      <c r="D582" s="349"/>
    </row>
    <row r="583" spans="4:4">
      <c r="D583" s="349"/>
    </row>
    <row r="584" spans="4:4">
      <c r="D584" s="349"/>
    </row>
    <row r="585" spans="4:4">
      <c r="D585" s="349"/>
    </row>
    <row r="586" spans="4:4">
      <c r="D586" s="349"/>
    </row>
    <row r="587" spans="4:4">
      <c r="D587" s="349"/>
    </row>
    <row r="588" spans="4:4">
      <c r="D588" s="349"/>
    </row>
    <row r="589" spans="4:4">
      <c r="D589" s="349"/>
    </row>
    <row r="590" spans="4:4">
      <c r="D590" s="349"/>
    </row>
    <row r="591" spans="4:4">
      <c r="D591" s="349"/>
    </row>
    <row r="592" spans="4:4">
      <c r="D592" s="349"/>
    </row>
    <row r="593" spans="4:4">
      <c r="D593" s="349"/>
    </row>
    <row r="594" spans="4:4">
      <c r="D594" s="349"/>
    </row>
    <row r="595" spans="4:4">
      <c r="D595" s="349"/>
    </row>
    <row r="596" spans="4:4">
      <c r="D596" s="349"/>
    </row>
    <row r="597" spans="4:4">
      <c r="D597" s="349"/>
    </row>
    <row r="598" spans="4:4">
      <c r="D598" s="349"/>
    </row>
    <row r="599" spans="4:4">
      <c r="D599" s="349"/>
    </row>
    <row r="600" spans="4:4">
      <c r="D600" s="349"/>
    </row>
    <row r="601" spans="4:4">
      <c r="D601" s="349"/>
    </row>
    <row r="602" spans="4:4">
      <c r="D602" s="349"/>
    </row>
    <row r="603" spans="4:4">
      <c r="D603" s="349"/>
    </row>
    <row r="604" spans="4:4">
      <c r="D604" s="349"/>
    </row>
    <row r="605" spans="4:4">
      <c r="D605" s="349"/>
    </row>
    <row r="606" spans="4:4">
      <c r="D606" s="349"/>
    </row>
    <row r="607" spans="4:4">
      <c r="D607" s="349"/>
    </row>
    <row r="608" spans="4:4">
      <c r="D608" s="349"/>
    </row>
    <row r="609" spans="4:4">
      <c r="D609" s="349"/>
    </row>
    <row r="610" spans="4:4">
      <c r="D610" s="349"/>
    </row>
    <row r="611" spans="4:4">
      <c r="D611" s="349"/>
    </row>
    <row r="612" spans="4:4">
      <c r="D612" s="349"/>
    </row>
    <row r="613" spans="4:4">
      <c r="D613" s="349"/>
    </row>
    <row r="614" spans="4:4">
      <c r="D614" s="349"/>
    </row>
    <row r="615" spans="4:4">
      <c r="D615" s="349"/>
    </row>
    <row r="616" spans="4:4">
      <c r="D616" s="349"/>
    </row>
    <row r="617" spans="4:4">
      <c r="D617" s="349"/>
    </row>
    <row r="618" spans="4:4">
      <c r="D618" s="349"/>
    </row>
    <row r="619" spans="4:4">
      <c r="D619" s="349"/>
    </row>
    <row r="620" spans="4:4">
      <c r="D620" s="349"/>
    </row>
    <row r="621" spans="4:4">
      <c r="D621" s="349"/>
    </row>
    <row r="622" spans="4:4">
      <c r="D622" s="349"/>
    </row>
    <row r="623" spans="4:4">
      <c r="D623" s="349"/>
    </row>
    <row r="624" spans="4:4">
      <c r="D624" s="349"/>
    </row>
    <row r="625" spans="4:4">
      <c r="D625" s="349"/>
    </row>
    <row r="626" spans="4:4">
      <c r="D626" s="349"/>
    </row>
    <row r="627" spans="4:4">
      <c r="D627" s="349"/>
    </row>
    <row r="628" spans="4:4">
      <c r="D628" s="349"/>
    </row>
    <row r="629" spans="4:4">
      <c r="D629" s="349"/>
    </row>
    <row r="630" spans="4:4">
      <c r="D630" s="349"/>
    </row>
    <row r="631" spans="4:4">
      <c r="D631" s="349"/>
    </row>
    <row r="632" spans="4:4">
      <c r="D632" s="349"/>
    </row>
    <row r="633" spans="4:4">
      <c r="D633" s="349"/>
    </row>
    <row r="634" spans="4:4">
      <c r="D634" s="349"/>
    </row>
    <row r="635" spans="4:4">
      <c r="D635" s="349"/>
    </row>
    <row r="636" spans="4:4">
      <c r="D636" s="349"/>
    </row>
    <row r="637" spans="4:4">
      <c r="D637" s="349"/>
    </row>
    <row r="638" spans="4:4">
      <c r="D638" s="349"/>
    </row>
    <row r="639" spans="4:4">
      <c r="D639" s="349"/>
    </row>
    <row r="640" spans="4:4">
      <c r="D640" s="349"/>
    </row>
    <row r="641" spans="4:4">
      <c r="D641" s="349"/>
    </row>
    <row r="642" spans="4:4">
      <c r="D642" s="349"/>
    </row>
    <row r="643" spans="4:4">
      <c r="D643" s="349"/>
    </row>
    <row r="644" spans="4:4">
      <c r="D644" s="349"/>
    </row>
    <row r="645" spans="4:4">
      <c r="D645" s="349"/>
    </row>
    <row r="646" spans="4:4">
      <c r="D646" s="349"/>
    </row>
    <row r="647" spans="4:4">
      <c r="D647" s="349"/>
    </row>
    <row r="648" spans="4:4">
      <c r="D648" s="349"/>
    </row>
    <row r="649" spans="4:4">
      <c r="D649" s="349"/>
    </row>
    <row r="650" spans="4:4">
      <c r="D650" s="349"/>
    </row>
    <row r="651" spans="4:4">
      <c r="D651" s="349"/>
    </row>
    <row r="652" spans="4:4">
      <c r="D652" s="349"/>
    </row>
    <row r="653" spans="4:4">
      <c r="D653" s="349"/>
    </row>
    <row r="654" spans="4:4">
      <c r="D654" s="349"/>
    </row>
    <row r="655" spans="4:4">
      <c r="D655" s="349"/>
    </row>
    <row r="656" spans="4:4">
      <c r="D656" s="349"/>
    </row>
    <row r="657" spans="4:4">
      <c r="D657" s="349"/>
    </row>
    <row r="658" spans="4:4">
      <c r="D658" s="349"/>
    </row>
    <row r="659" spans="4:4">
      <c r="D659" s="349"/>
    </row>
    <row r="660" spans="4:4">
      <c r="D660" s="349"/>
    </row>
    <row r="661" spans="4:4">
      <c r="D661" s="349"/>
    </row>
    <row r="662" spans="4:4">
      <c r="D662" s="349"/>
    </row>
    <row r="663" spans="4:4">
      <c r="D663" s="349"/>
    </row>
    <row r="664" spans="4:4">
      <c r="D664" s="349"/>
    </row>
    <row r="665" spans="4:4">
      <c r="D665" s="349"/>
    </row>
    <row r="666" spans="4:4">
      <c r="D666" s="349"/>
    </row>
    <row r="667" spans="4:4">
      <c r="D667" s="349"/>
    </row>
    <row r="668" spans="4:4">
      <c r="D668" s="349"/>
    </row>
    <row r="669" spans="4:4">
      <c r="D669" s="349"/>
    </row>
    <row r="670" spans="4:4">
      <c r="D670" s="349"/>
    </row>
    <row r="671" spans="4:4">
      <c r="D671" s="349"/>
    </row>
    <row r="672" spans="4:4">
      <c r="D672" s="349"/>
    </row>
    <row r="673" spans="4:4">
      <c r="D673" s="349"/>
    </row>
    <row r="674" spans="4:4">
      <c r="D674" s="349"/>
    </row>
    <row r="675" spans="4:4">
      <c r="D675" s="349"/>
    </row>
    <row r="676" spans="4:4">
      <c r="D676" s="349"/>
    </row>
    <row r="677" spans="4:4">
      <c r="D677" s="349"/>
    </row>
    <row r="678" spans="4:4">
      <c r="D678" s="349"/>
    </row>
    <row r="679" spans="4:4">
      <c r="D679" s="349"/>
    </row>
    <row r="680" spans="4:4">
      <c r="D680" s="349"/>
    </row>
    <row r="681" spans="4:4">
      <c r="D681" s="349"/>
    </row>
    <row r="682" spans="4:4">
      <c r="D682" s="349"/>
    </row>
    <row r="683" spans="4:4">
      <c r="D683" s="349"/>
    </row>
    <row r="684" spans="4:4">
      <c r="D684" s="349"/>
    </row>
    <row r="685" spans="4:4">
      <c r="D685" s="349"/>
    </row>
    <row r="686" spans="4:4">
      <c r="D686" s="349"/>
    </row>
    <row r="687" spans="4:4">
      <c r="D687" s="349"/>
    </row>
    <row r="688" spans="4:4">
      <c r="D688" s="349"/>
    </row>
    <row r="689" spans="4:4">
      <c r="D689" s="349"/>
    </row>
    <row r="690" spans="4:4">
      <c r="D690" s="349"/>
    </row>
    <row r="691" spans="4:4">
      <c r="D691" s="349"/>
    </row>
    <row r="692" spans="4:4">
      <c r="D692" s="349"/>
    </row>
    <row r="693" spans="4:4">
      <c r="D693" s="349"/>
    </row>
    <row r="694" spans="4:4">
      <c r="D694" s="349"/>
    </row>
    <row r="695" spans="4:4">
      <c r="D695" s="349"/>
    </row>
    <row r="696" spans="4:4">
      <c r="D696" s="349"/>
    </row>
    <row r="697" spans="4:4">
      <c r="D697" s="349"/>
    </row>
    <row r="698" spans="4:4">
      <c r="D698" s="349"/>
    </row>
    <row r="699" spans="4:4">
      <c r="D699" s="349"/>
    </row>
    <row r="700" spans="4:4">
      <c r="D700" s="349"/>
    </row>
    <row r="701" spans="4:4">
      <c r="D701" s="349"/>
    </row>
    <row r="702" spans="4:4">
      <c r="D702" s="349"/>
    </row>
    <row r="703" spans="4:4">
      <c r="D703" s="349"/>
    </row>
    <row r="704" spans="4:4">
      <c r="D704" s="349"/>
    </row>
    <row r="705" spans="4:4">
      <c r="D705" s="349"/>
    </row>
    <row r="706" spans="4:4">
      <c r="D706" s="349"/>
    </row>
    <row r="707" spans="4:4">
      <c r="D707" s="349"/>
    </row>
    <row r="708" spans="4:4">
      <c r="D708" s="349"/>
    </row>
    <row r="709" spans="4:4">
      <c r="D709" s="349"/>
    </row>
    <row r="710" spans="4:4">
      <c r="D710" s="349"/>
    </row>
    <row r="711" spans="4:4">
      <c r="D711" s="349"/>
    </row>
    <row r="712" spans="4:4">
      <c r="D712" s="349"/>
    </row>
    <row r="713" spans="4:4">
      <c r="D713" s="349"/>
    </row>
    <row r="714" spans="4:4">
      <c r="D714" s="349"/>
    </row>
    <row r="715" spans="4:4">
      <c r="D715" s="349"/>
    </row>
    <row r="716" spans="4:4">
      <c r="D716" s="349"/>
    </row>
    <row r="717" spans="4:4">
      <c r="D717" s="349"/>
    </row>
    <row r="718" spans="4:4">
      <c r="D718" s="349"/>
    </row>
    <row r="719" spans="4:4">
      <c r="D719" s="349"/>
    </row>
    <row r="720" spans="4:4">
      <c r="D720" s="349"/>
    </row>
    <row r="721" spans="4:4">
      <c r="D721" s="349"/>
    </row>
    <row r="722" spans="4:4">
      <c r="D722" s="349"/>
    </row>
    <row r="723" spans="4:4">
      <c r="D723" s="349"/>
    </row>
    <row r="724" spans="4:4">
      <c r="D724" s="349"/>
    </row>
    <row r="725" spans="4:4">
      <c r="D725" s="349"/>
    </row>
    <row r="726" spans="4:4">
      <c r="D726" s="349"/>
    </row>
    <row r="727" spans="4:4">
      <c r="D727" s="349"/>
    </row>
    <row r="728" spans="4:4">
      <c r="D728" s="349"/>
    </row>
    <row r="729" spans="4:4">
      <c r="D729" s="349"/>
    </row>
    <row r="730" spans="4:4">
      <c r="D730" s="349"/>
    </row>
    <row r="731" spans="4:4">
      <c r="D731" s="349"/>
    </row>
    <row r="732" spans="4:4">
      <c r="D732" s="349"/>
    </row>
    <row r="733" spans="4:4">
      <c r="D733" s="349"/>
    </row>
    <row r="734" spans="4:4">
      <c r="D734" s="349"/>
    </row>
    <row r="735" spans="4:4">
      <c r="D735" s="349"/>
    </row>
    <row r="736" spans="4:4">
      <c r="D736" s="349"/>
    </row>
    <row r="737" spans="4:4">
      <c r="D737" s="349"/>
    </row>
    <row r="738" spans="4:4">
      <c r="D738" s="349"/>
    </row>
    <row r="739" spans="4:4">
      <c r="D739" s="349"/>
    </row>
    <row r="740" spans="4:4">
      <c r="D740" s="349"/>
    </row>
    <row r="741" spans="4:4">
      <c r="D741" s="349"/>
    </row>
    <row r="742" spans="4:4">
      <c r="D742" s="349"/>
    </row>
    <row r="743" spans="4:4">
      <c r="D743" s="349"/>
    </row>
    <row r="744" spans="4:4">
      <c r="D744" s="349"/>
    </row>
    <row r="745" spans="4:4">
      <c r="D745" s="349"/>
    </row>
    <row r="746" spans="4:4">
      <c r="D746" s="349"/>
    </row>
    <row r="747" spans="4:4">
      <c r="D747" s="349"/>
    </row>
    <row r="748" spans="4:4">
      <c r="D748" s="349"/>
    </row>
    <row r="749" spans="4:4">
      <c r="D749" s="349"/>
    </row>
    <row r="750" spans="4:4">
      <c r="D750" s="349"/>
    </row>
    <row r="751" spans="4:4">
      <c r="D751" s="349"/>
    </row>
    <row r="752" spans="4:4">
      <c r="D752" s="349"/>
    </row>
    <row r="753" spans="4:4">
      <c r="D753" s="349"/>
    </row>
    <row r="754" spans="4:4">
      <c r="D754" s="349"/>
    </row>
    <row r="755" spans="4:4">
      <c r="D755" s="349"/>
    </row>
    <row r="756" spans="4:4">
      <c r="D756" s="349"/>
    </row>
    <row r="757" spans="4:4">
      <c r="D757" s="349"/>
    </row>
    <row r="758" spans="4:4">
      <c r="D758" s="349"/>
    </row>
    <row r="759" spans="4:4">
      <c r="D759" s="349"/>
    </row>
    <row r="760" spans="4:4">
      <c r="D760" s="349"/>
    </row>
    <row r="761" spans="4:4">
      <c r="D761" s="349"/>
    </row>
    <row r="762" spans="4:4">
      <c r="D762" s="349"/>
    </row>
    <row r="763" spans="4:4">
      <c r="D763" s="349"/>
    </row>
    <row r="764" spans="4:4">
      <c r="D764" s="349"/>
    </row>
    <row r="765" spans="4:4">
      <c r="D765" s="349"/>
    </row>
    <row r="766" spans="4:4">
      <c r="D766" s="349"/>
    </row>
    <row r="767" spans="4:4">
      <c r="D767" s="349"/>
    </row>
    <row r="768" spans="4:4">
      <c r="D768" s="349"/>
    </row>
    <row r="769" spans="4:4">
      <c r="D769" s="349"/>
    </row>
    <row r="770" spans="4:4">
      <c r="D770" s="349"/>
    </row>
    <row r="771" spans="4:4">
      <c r="D771" s="349"/>
    </row>
    <row r="772" spans="4:4">
      <c r="D772" s="349"/>
    </row>
    <row r="773" spans="4:4">
      <c r="D773" s="349"/>
    </row>
    <row r="774" spans="4:4">
      <c r="D774" s="349"/>
    </row>
    <row r="775" spans="4:4">
      <c r="D775" s="349"/>
    </row>
    <row r="776" spans="4:4">
      <c r="D776" s="349"/>
    </row>
    <row r="777" spans="4:4">
      <c r="D777" s="349"/>
    </row>
    <row r="778" spans="4:4">
      <c r="D778" s="349"/>
    </row>
    <row r="779" spans="4:4">
      <c r="D779" s="349"/>
    </row>
    <row r="780" spans="4:4">
      <c r="D780" s="349"/>
    </row>
    <row r="781" spans="4:4">
      <c r="D781" s="349"/>
    </row>
    <row r="782" spans="4:4">
      <c r="D782" s="349"/>
    </row>
    <row r="783" spans="4:4">
      <c r="D783" s="349"/>
    </row>
    <row r="784" spans="4:4">
      <c r="D784" s="349"/>
    </row>
    <row r="785" spans="4:4">
      <c r="D785" s="349"/>
    </row>
    <row r="786" spans="4:4">
      <c r="D786" s="349"/>
    </row>
    <row r="787" spans="4:4">
      <c r="D787" s="349"/>
    </row>
    <row r="788" spans="4:4">
      <c r="D788" s="349"/>
    </row>
    <row r="789" spans="4:4">
      <c r="D789" s="349"/>
    </row>
    <row r="790" spans="4:4">
      <c r="D790" s="349"/>
    </row>
    <row r="791" spans="4:4">
      <c r="D791" s="349"/>
    </row>
    <row r="792" spans="4:4">
      <c r="D792" s="349"/>
    </row>
    <row r="793" spans="4:4">
      <c r="D793" s="349"/>
    </row>
    <row r="794" spans="4:4">
      <c r="D794" s="349"/>
    </row>
    <row r="795" spans="4:4">
      <c r="D795" s="349"/>
    </row>
    <row r="796" spans="4:4">
      <c r="D796" s="349"/>
    </row>
    <row r="797" spans="4:4">
      <c r="D797" s="349"/>
    </row>
    <row r="798" spans="4:4">
      <c r="D798" s="349"/>
    </row>
    <row r="799" spans="4:4">
      <c r="D799" s="349"/>
    </row>
    <row r="800" spans="4:4">
      <c r="D800" s="349"/>
    </row>
    <row r="801" spans="4:4">
      <c r="D801" s="349"/>
    </row>
    <row r="802" spans="4:4">
      <c r="D802" s="349"/>
    </row>
    <row r="803" spans="4:4">
      <c r="D803" s="349"/>
    </row>
    <row r="804" spans="4:4">
      <c r="D804" s="349"/>
    </row>
    <row r="805" spans="4:4">
      <c r="D805" s="349"/>
    </row>
    <row r="806" spans="4:4">
      <c r="D806" s="349"/>
    </row>
    <row r="807" spans="4:4">
      <c r="D807" s="349"/>
    </row>
    <row r="808" spans="4:4">
      <c r="D808" s="349"/>
    </row>
    <row r="809" spans="4:4">
      <c r="D809" s="349"/>
    </row>
    <row r="810" spans="4:4">
      <c r="D810" s="349"/>
    </row>
    <row r="811" spans="4:4">
      <c r="D811" s="349"/>
    </row>
    <row r="812" spans="4:4">
      <c r="D812" s="349"/>
    </row>
    <row r="813" spans="4:4">
      <c r="D813" s="349"/>
    </row>
    <row r="814" spans="4:4">
      <c r="D814" s="349"/>
    </row>
    <row r="815" spans="4:4">
      <c r="D815" s="349"/>
    </row>
    <row r="816" spans="4:4">
      <c r="D816" s="349"/>
    </row>
    <row r="817" spans="4:4">
      <c r="D817" s="349"/>
    </row>
    <row r="818" spans="4:4">
      <c r="D818" s="349"/>
    </row>
    <row r="819" spans="4:4">
      <c r="D819" s="349"/>
    </row>
    <row r="820" spans="4:4">
      <c r="D820" s="349"/>
    </row>
    <row r="821" spans="4:4">
      <c r="D821" s="349"/>
    </row>
    <row r="822" spans="4:4">
      <c r="D822" s="349"/>
    </row>
    <row r="823" spans="4:4">
      <c r="D823" s="349"/>
    </row>
    <row r="824" spans="4:4">
      <c r="D824" s="349"/>
    </row>
    <row r="825" spans="4:4">
      <c r="D825" s="349"/>
    </row>
    <row r="826" spans="4:4">
      <c r="D826" s="349"/>
    </row>
    <row r="827" spans="4:4">
      <c r="D827" s="349"/>
    </row>
    <row r="828" spans="4:4">
      <c r="D828" s="349"/>
    </row>
    <row r="829" spans="4:4">
      <c r="D829" s="349"/>
    </row>
    <row r="830" spans="4:4">
      <c r="D830" s="349"/>
    </row>
    <row r="831" spans="4:4">
      <c r="D831" s="349"/>
    </row>
    <row r="832" spans="4:4">
      <c r="D832" s="349"/>
    </row>
    <row r="833" spans="4:4">
      <c r="D833" s="349"/>
    </row>
    <row r="834" spans="4:4">
      <c r="D834" s="349"/>
    </row>
    <row r="835" spans="4:4">
      <c r="D835" s="349"/>
    </row>
    <row r="836" spans="4:4">
      <c r="D836" s="349"/>
    </row>
    <row r="837" spans="4:4">
      <c r="D837" s="349"/>
    </row>
    <row r="838" spans="4:4">
      <c r="D838" s="349"/>
    </row>
    <row r="839" spans="4:4">
      <c r="D839" s="349"/>
    </row>
    <row r="840" spans="4:4">
      <c r="D840" s="349"/>
    </row>
    <row r="841" spans="4:4">
      <c r="D841" s="349"/>
    </row>
    <row r="842" spans="4:4">
      <c r="D842" s="349"/>
    </row>
    <row r="843" spans="4:4">
      <c r="D843" s="349"/>
    </row>
    <row r="844" spans="4:4">
      <c r="D844" s="349"/>
    </row>
    <row r="845" spans="4:4">
      <c r="D845" s="349"/>
    </row>
    <row r="846" spans="4:4">
      <c r="D846" s="349"/>
    </row>
    <row r="847" spans="4:4">
      <c r="D847" s="349"/>
    </row>
    <row r="848" spans="4:4">
      <c r="D848" s="349"/>
    </row>
    <row r="849" spans="4:4">
      <c r="D849" s="349"/>
    </row>
    <row r="850" spans="4:4">
      <c r="D850" s="349"/>
    </row>
    <row r="851" spans="4:4">
      <c r="D851" s="349"/>
    </row>
    <row r="852" spans="4:4">
      <c r="D852" s="349"/>
    </row>
    <row r="853" spans="4:4">
      <c r="D853" s="349"/>
    </row>
    <row r="854" spans="4:4">
      <c r="D854" s="349"/>
    </row>
    <row r="855" spans="4:4">
      <c r="D855" s="349"/>
    </row>
    <row r="856" spans="4:4">
      <c r="D856" s="349"/>
    </row>
    <row r="857" spans="4:4">
      <c r="D857" s="349"/>
    </row>
    <row r="858" spans="4:4">
      <c r="D858" s="349"/>
    </row>
    <row r="859" spans="4:4">
      <c r="D859" s="349"/>
    </row>
    <row r="860" spans="4:4">
      <c r="D860" s="349"/>
    </row>
    <row r="861" spans="4:4">
      <c r="D861" s="349"/>
    </row>
    <row r="862" spans="4:4">
      <c r="D862" s="349"/>
    </row>
    <row r="863" spans="4:4">
      <c r="D863" s="349"/>
    </row>
    <row r="864" spans="4:4">
      <c r="D864" s="349"/>
    </row>
    <row r="865" spans="4:4">
      <c r="D865" s="349"/>
    </row>
    <row r="866" spans="4:4">
      <c r="D866" s="349"/>
    </row>
    <row r="867" spans="4:4">
      <c r="D867" s="349"/>
    </row>
    <row r="868" spans="4:4">
      <c r="D868" s="349"/>
    </row>
    <row r="869" spans="4:4">
      <c r="D869" s="349"/>
    </row>
    <row r="870" spans="4:4">
      <c r="D870" s="349"/>
    </row>
    <row r="871" spans="4:4">
      <c r="D871" s="349"/>
    </row>
    <row r="872" spans="4:4">
      <c r="D872" s="349"/>
    </row>
    <row r="873" spans="4:4">
      <c r="D873" s="349"/>
    </row>
    <row r="874" spans="4:4">
      <c r="D874" s="349"/>
    </row>
    <row r="875" spans="4:4">
      <c r="D875" s="349"/>
    </row>
    <row r="876" spans="4:4">
      <c r="D876" s="349"/>
    </row>
    <row r="877" spans="4:4">
      <c r="D877" s="349"/>
    </row>
    <row r="878" spans="4:4">
      <c r="D878" s="349"/>
    </row>
    <row r="879" spans="4:4">
      <c r="D879" s="349"/>
    </row>
    <row r="880" spans="4:4">
      <c r="D880" s="349"/>
    </row>
    <row r="881" spans="4:4">
      <c r="D881" s="349"/>
    </row>
    <row r="882" spans="4:4">
      <c r="D882" s="349"/>
    </row>
    <row r="883" spans="4:4">
      <c r="D883" s="349"/>
    </row>
    <row r="884" spans="4:4">
      <c r="D884" s="349"/>
    </row>
    <row r="885" spans="4:4">
      <c r="D885" s="349"/>
    </row>
    <row r="886" spans="4:4">
      <c r="D886" s="349"/>
    </row>
    <row r="887" spans="4:4">
      <c r="D887" s="349"/>
    </row>
    <row r="888" spans="4:4">
      <c r="D888" s="349"/>
    </row>
    <row r="889" spans="4:4">
      <c r="D889" s="349"/>
    </row>
    <row r="890" spans="4:4">
      <c r="D890" s="349"/>
    </row>
    <row r="891" spans="4:4">
      <c r="D891" s="349"/>
    </row>
    <row r="892" spans="4:4">
      <c r="D892" s="349"/>
    </row>
    <row r="893" spans="4:4">
      <c r="D893" s="349"/>
    </row>
    <row r="894" spans="4:4">
      <c r="D894" s="349"/>
    </row>
    <row r="895" spans="4:4">
      <c r="D895" s="349"/>
    </row>
    <row r="896" spans="4:4">
      <c r="D896" s="349"/>
    </row>
    <row r="897" spans="4:4">
      <c r="D897" s="349"/>
    </row>
    <row r="898" spans="4:4">
      <c r="D898" s="349"/>
    </row>
    <row r="899" spans="4:4">
      <c r="D899" s="349"/>
    </row>
    <row r="900" spans="4:4">
      <c r="D900" s="349"/>
    </row>
    <row r="901" spans="4:4">
      <c r="D901" s="349"/>
    </row>
    <row r="902" spans="4:4">
      <c r="D902" s="349"/>
    </row>
    <row r="903" spans="4:4">
      <c r="D903" s="349"/>
    </row>
    <row r="904" spans="4:4">
      <c r="D904" s="349"/>
    </row>
    <row r="905" spans="4:4">
      <c r="D905" s="349"/>
    </row>
    <row r="906" spans="4:4">
      <c r="D906" s="349"/>
    </row>
    <row r="907" spans="4:4">
      <c r="D907" s="349"/>
    </row>
    <row r="908" spans="4:4">
      <c r="D908" s="349"/>
    </row>
    <row r="909" spans="4:4">
      <c r="D909" s="349"/>
    </row>
    <row r="910" spans="4:4">
      <c r="D910" s="349"/>
    </row>
    <row r="911" spans="4:4">
      <c r="D911" s="349"/>
    </row>
    <row r="912" spans="4:4">
      <c r="D912" s="349"/>
    </row>
    <row r="913" spans="4:4">
      <c r="D913" s="349"/>
    </row>
    <row r="914" spans="4:4">
      <c r="D914" s="349"/>
    </row>
    <row r="915" spans="4:4">
      <c r="D915" s="349"/>
    </row>
    <row r="916" spans="4:4">
      <c r="D916" s="349"/>
    </row>
    <row r="917" spans="4:4">
      <c r="D917" s="349"/>
    </row>
    <row r="918" spans="4:4">
      <c r="D918" s="349"/>
    </row>
    <row r="919" spans="4:4">
      <c r="D919" s="349"/>
    </row>
    <row r="920" spans="4:4">
      <c r="D920" s="349"/>
    </row>
    <row r="921" spans="4:4">
      <c r="D921" s="349"/>
    </row>
    <row r="922" spans="4:4">
      <c r="D922" s="349"/>
    </row>
    <row r="923" spans="4:4">
      <c r="D923" s="349"/>
    </row>
    <row r="924" spans="4:4">
      <c r="D924" s="349"/>
    </row>
    <row r="925" spans="4:4">
      <c r="D925" s="349"/>
    </row>
    <row r="926" spans="4:4">
      <c r="D926" s="349"/>
    </row>
    <row r="927" spans="4:4">
      <c r="D927" s="349"/>
    </row>
    <row r="928" spans="4:4">
      <c r="D928" s="349"/>
    </row>
    <row r="929" spans="4:4">
      <c r="D929" s="349"/>
    </row>
    <row r="930" spans="4:4">
      <c r="D930" s="349"/>
    </row>
    <row r="931" spans="4:4">
      <c r="D931" s="349"/>
    </row>
    <row r="932" spans="4:4">
      <c r="D932" s="349"/>
    </row>
    <row r="933" spans="4:4">
      <c r="D933" s="349"/>
    </row>
    <row r="934" spans="4:4">
      <c r="D934" s="349"/>
    </row>
    <row r="935" spans="4:4">
      <c r="D935" s="349"/>
    </row>
    <row r="936" spans="4:4">
      <c r="D936" s="349"/>
    </row>
    <row r="937" spans="4:4">
      <c r="D937" s="349"/>
    </row>
    <row r="938" spans="4:4">
      <c r="D938" s="349"/>
    </row>
    <row r="939" spans="4:4">
      <c r="D939" s="349"/>
    </row>
    <row r="940" spans="4:4">
      <c r="D940" s="349"/>
    </row>
    <row r="941" spans="4:4">
      <c r="D941" s="349"/>
    </row>
    <row r="942" spans="4:4">
      <c r="D942" s="349"/>
    </row>
    <row r="943" spans="4:4">
      <c r="D943" s="349"/>
    </row>
    <row r="944" spans="4:4">
      <c r="D944" s="349"/>
    </row>
    <row r="945" spans="4:4">
      <c r="D945" s="349"/>
    </row>
    <row r="946" spans="4:4">
      <c r="D946" s="349"/>
    </row>
    <row r="947" spans="4:4">
      <c r="D947" s="349"/>
    </row>
    <row r="948" spans="4:4">
      <c r="D948" s="349"/>
    </row>
    <row r="949" spans="4:4">
      <c r="D949" s="349"/>
    </row>
    <row r="950" spans="4:4">
      <c r="D950" s="349"/>
    </row>
    <row r="951" spans="4:4">
      <c r="D951" s="349"/>
    </row>
    <row r="952" spans="4:4">
      <c r="D952" s="349"/>
    </row>
    <row r="953" spans="4:4">
      <c r="D953" s="349"/>
    </row>
    <row r="954" spans="4:4">
      <c r="D954" s="349"/>
    </row>
    <row r="955" spans="4:4">
      <c r="D955" s="349"/>
    </row>
    <row r="956" spans="4:4">
      <c r="D956" s="349"/>
    </row>
    <row r="957" spans="4:4">
      <c r="D957" s="349"/>
    </row>
    <row r="958" spans="4:4">
      <c r="D958" s="349"/>
    </row>
    <row r="959" spans="4:4">
      <c r="D959" s="349"/>
    </row>
    <row r="960" spans="4:4">
      <c r="D960" s="349"/>
    </row>
    <row r="961" spans="4:4">
      <c r="D961" s="349"/>
    </row>
    <row r="962" spans="4:4">
      <c r="D962" s="349"/>
    </row>
    <row r="963" spans="4:4">
      <c r="D963" s="349"/>
    </row>
    <row r="964" spans="4:4">
      <c r="D964" s="349"/>
    </row>
    <row r="965" spans="4:4">
      <c r="D965" s="349"/>
    </row>
    <row r="966" spans="4:4">
      <c r="D966" s="349"/>
    </row>
    <row r="967" spans="4:4">
      <c r="D967" s="349"/>
    </row>
    <row r="968" spans="4:4">
      <c r="D968" s="349"/>
    </row>
    <row r="969" spans="4:4">
      <c r="D969" s="349"/>
    </row>
    <row r="970" spans="4:4">
      <c r="D970" s="349"/>
    </row>
    <row r="971" spans="4:4">
      <c r="D971" s="349"/>
    </row>
    <row r="972" spans="4:4">
      <c r="D972" s="349"/>
    </row>
    <row r="973" spans="4:4">
      <c r="D973" s="349"/>
    </row>
    <row r="974" spans="4:4">
      <c r="D974" s="349"/>
    </row>
    <row r="975" spans="4:4">
      <c r="D975" s="349"/>
    </row>
    <row r="976" spans="4:4">
      <c r="D976" s="349"/>
    </row>
    <row r="977" spans="4:4">
      <c r="D977" s="349"/>
    </row>
    <row r="978" spans="4:4">
      <c r="D978" s="349"/>
    </row>
    <row r="979" spans="4:4">
      <c r="D979" s="349"/>
    </row>
    <row r="980" spans="4:4">
      <c r="D980" s="349"/>
    </row>
    <row r="981" spans="4:4">
      <c r="D981" s="349"/>
    </row>
    <row r="982" spans="4:4">
      <c r="D982" s="349"/>
    </row>
    <row r="983" spans="4:4">
      <c r="D983" s="349"/>
    </row>
    <row r="984" spans="4:4">
      <c r="D984" s="349"/>
    </row>
    <row r="985" spans="4:4">
      <c r="D985" s="349"/>
    </row>
    <row r="986" spans="4:4">
      <c r="D986" s="349"/>
    </row>
    <row r="987" spans="4:4">
      <c r="D987" s="349"/>
    </row>
    <row r="988" spans="4:4">
      <c r="D988" s="349"/>
    </row>
    <row r="989" spans="4:4">
      <c r="D989" s="349"/>
    </row>
    <row r="990" spans="4:4">
      <c r="D990" s="349"/>
    </row>
    <row r="991" spans="4:4">
      <c r="D991" s="349"/>
    </row>
    <row r="992" spans="4:4">
      <c r="D992" s="349"/>
    </row>
    <row r="993" spans="4:4">
      <c r="D993" s="349"/>
    </row>
    <row r="994" spans="4:4">
      <c r="D994" s="349"/>
    </row>
    <row r="995" spans="4:4">
      <c r="D995" s="349"/>
    </row>
    <row r="996" spans="4:4">
      <c r="D996" s="349"/>
    </row>
    <row r="997" spans="4:4">
      <c r="D997" s="349"/>
    </row>
    <row r="998" spans="4:4">
      <c r="D998" s="349"/>
    </row>
    <row r="999" spans="4:4">
      <c r="D999" s="349"/>
    </row>
    <row r="1000" spans="4:4">
      <c r="D1000" s="349"/>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S47"/>
  <sheetViews>
    <sheetView topLeftCell="E1" workbookViewId="0">
      <selection activeCell="Q12" sqref="Q12"/>
    </sheetView>
  </sheetViews>
  <sheetFormatPr defaultColWidth="14.44140625" defaultRowHeight="15" customHeight="1"/>
  <cols>
    <col min="1" max="1" width="3.88671875" customWidth="1"/>
    <col min="2" max="2" width="26.88671875" customWidth="1"/>
  </cols>
  <sheetData>
    <row r="2" spans="2:19">
      <c r="B2" s="574"/>
      <c r="C2" s="794" t="s">
        <v>391</v>
      </c>
      <c r="D2" s="764"/>
      <c r="E2" s="764"/>
      <c r="F2" s="764"/>
      <c r="G2" s="795" t="s">
        <v>392</v>
      </c>
      <c r="H2" s="796"/>
      <c r="I2" s="796"/>
      <c r="J2" s="797"/>
      <c r="M2" s="798" t="s">
        <v>393</v>
      </c>
      <c r="N2" s="799"/>
      <c r="O2" s="799"/>
      <c r="P2" s="799"/>
      <c r="Q2" s="799"/>
      <c r="R2" s="800"/>
    </row>
    <row r="3" spans="2:19">
      <c r="B3" s="364" t="s">
        <v>394</v>
      </c>
      <c r="C3" s="204">
        <v>2021</v>
      </c>
      <c r="D3" s="204">
        <f t="shared" ref="D3:J3" si="0">C3+1</f>
        <v>2022</v>
      </c>
      <c r="E3" s="204">
        <f t="shared" si="0"/>
        <v>2023</v>
      </c>
      <c r="F3" s="204">
        <f t="shared" si="0"/>
        <v>2024</v>
      </c>
      <c r="G3" s="365">
        <f t="shared" si="0"/>
        <v>2025</v>
      </c>
      <c r="H3" s="366">
        <f t="shared" si="0"/>
        <v>2026</v>
      </c>
      <c r="I3" s="366">
        <f t="shared" si="0"/>
        <v>2027</v>
      </c>
      <c r="J3" s="367">
        <f t="shared" si="0"/>
        <v>2028</v>
      </c>
      <c r="M3" s="368" t="s">
        <v>394</v>
      </c>
      <c r="N3" s="369">
        <v>2021</v>
      </c>
      <c r="O3" s="369">
        <v>2022</v>
      </c>
      <c r="P3" s="369">
        <v>2023</v>
      </c>
      <c r="Q3" s="369">
        <v>2024</v>
      </c>
      <c r="R3" s="369">
        <v>2025</v>
      </c>
    </row>
    <row r="4" spans="2:19">
      <c r="B4" s="370" t="s">
        <v>395</v>
      </c>
      <c r="C4" s="371">
        <f>'SQURPHARMA Earnings Model T-1'!H220</f>
        <v>7222.7590739999996</v>
      </c>
      <c r="D4" s="371">
        <f>'SQURPHARMA Earnings Model T-1'!M220</f>
        <v>6691.5002759999998</v>
      </c>
      <c r="E4" s="371">
        <f>'SQURPHARMA Earnings Model T-1'!R220</f>
        <v>5721.3663079999988</v>
      </c>
      <c r="F4" s="371">
        <f>'SQURPHARMA Earnings Model T-1'!W220</f>
        <v>14347.561911000001</v>
      </c>
      <c r="G4" s="372">
        <f>'SQURPHARMA Earnings Model T-1'!AB220</f>
        <v>17111.438731727605</v>
      </c>
      <c r="H4" s="371">
        <f>'SQURPHARMA Earnings Model T-1'!AG220</f>
        <v>25465.006123810999</v>
      </c>
      <c r="I4" s="371">
        <f>'SQURPHARMA Earnings Model T-1'!AL220</f>
        <v>25358.479171374413</v>
      </c>
      <c r="J4" s="373">
        <f>'SQURPHARMA Earnings Model T-1'!AQ220</f>
        <v>10862.917359387051</v>
      </c>
      <c r="M4" s="368" t="s">
        <v>396</v>
      </c>
      <c r="N4" s="374">
        <f>Workings!R3</f>
        <v>6.9386791239999995E-2</v>
      </c>
      <c r="O4" s="374">
        <f>Workings!S3</f>
        <v>7.0998287760000001E-2</v>
      </c>
      <c r="P4" s="374">
        <f>Workings!T3</f>
        <v>5.7751123699999997E-2</v>
      </c>
      <c r="Q4" s="374">
        <f>Workings!U3</f>
        <v>4.2232591129999997E-2</v>
      </c>
      <c r="R4" s="374">
        <f>Workings!V3</f>
        <v>4.9000000000000002E-2</v>
      </c>
    </row>
    <row r="5" spans="2:19">
      <c r="M5" s="368"/>
      <c r="N5" s="368"/>
      <c r="O5" s="368"/>
      <c r="P5" s="368"/>
      <c r="Q5" s="368"/>
      <c r="R5" s="368"/>
    </row>
    <row r="6" spans="2:19">
      <c r="B6" s="575" t="s">
        <v>359</v>
      </c>
      <c r="C6" s="576">
        <f>'SQURPHARMA Earnings Model T-1'!C275</f>
        <v>0.13126085642842011</v>
      </c>
      <c r="M6" s="801" t="s">
        <v>397</v>
      </c>
      <c r="N6" s="779"/>
      <c r="O6" s="779"/>
      <c r="P6" s="779"/>
      <c r="Q6" s="790"/>
      <c r="R6" s="580">
        <f>AVERAGE(N4:R4)</f>
        <v>5.7873758765999997E-2</v>
      </c>
    </row>
    <row r="7" spans="2:19">
      <c r="B7" s="575" t="s">
        <v>398</v>
      </c>
      <c r="C7" s="576">
        <f>R6</f>
        <v>5.7873758765999997E-2</v>
      </c>
    </row>
    <row r="10" spans="2:19">
      <c r="B10" s="802" t="s">
        <v>399</v>
      </c>
      <c r="C10" s="764"/>
      <c r="D10" s="764"/>
      <c r="E10" s="764"/>
      <c r="F10" s="764"/>
      <c r="G10" s="756"/>
      <c r="H10" s="375"/>
      <c r="I10" s="375"/>
      <c r="M10" s="802" t="s">
        <v>400</v>
      </c>
      <c r="N10" s="764"/>
      <c r="O10" s="764"/>
      <c r="P10" s="764"/>
      <c r="Q10" s="764"/>
      <c r="R10" s="764"/>
      <c r="S10" s="756"/>
    </row>
    <row r="11" spans="2:19">
      <c r="B11" s="577" t="s">
        <v>401</v>
      </c>
      <c r="G11" s="376">
        <f t="array" ref="G11">NPV('SQURPHARMA Earnings Model T-1'!C275,'SQURPHARMA Earnings Model T-1'!AB220,'SQURPHARMA Earnings Model T-1'!AG220,'SQURPHARMA Earnings Model T-1'!AL220,'SQURPHARMA Earnings Model T-1'!AQ220)</f>
        <v>59173.170559248225</v>
      </c>
      <c r="M11" s="803" t="s">
        <v>402</v>
      </c>
      <c r="N11" s="581"/>
      <c r="O11" s="806" t="s">
        <v>403</v>
      </c>
      <c r="P11" s="807"/>
      <c r="Q11" s="807"/>
      <c r="R11" s="807"/>
      <c r="S11" s="808"/>
    </row>
    <row r="12" spans="2:19">
      <c r="B12" s="809" t="s">
        <v>404</v>
      </c>
      <c r="D12" s="204">
        <v>2025</v>
      </c>
      <c r="E12" s="204">
        <f t="shared" ref="E12:G12" si="1">D12+1</f>
        <v>2026</v>
      </c>
      <c r="F12" s="204">
        <f t="shared" si="1"/>
        <v>2027</v>
      </c>
      <c r="G12" s="85">
        <f t="shared" si="1"/>
        <v>2028</v>
      </c>
      <c r="M12" s="804"/>
      <c r="N12" s="334"/>
      <c r="O12" s="334">
        <f t="shared" ref="O12:P12" si="2">P12*(1-0.025)</f>
        <v>0.12477985164226686</v>
      </c>
      <c r="P12" s="334">
        <f t="shared" si="2"/>
        <v>0.12797933501770961</v>
      </c>
      <c r="Q12" s="334">
        <f>C6</f>
        <v>0.13126085642842011</v>
      </c>
      <c r="R12" s="334">
        <f t="shared" ref="R12:S12" si="3">Q12*(1+0.025)</f>
        <v>0.13454237783913062</v>
      </c>
      <c r="S12" s="295">
        <f t="shared" si="3"/>
        <v>0.13790593728510886</v>
      </c>
    </row>
    <row r="13" spans="2:19">
      <c r="B13" s="810"/>
      <c r="D13" s="204">
        <v>0</v>
      </c>
      <c r="E13" s="204">
        <v>0</v>
      </c>
      <c r="F13" s="204">
        <v>0</v>
      </c>
      <c r="G13" s="376">
        <f>('SQURPHARMA Earnings Model T-1'!AQ220*(1+C7))/(C6-C7)</f>
        <v>156588.76811017148</v>
      </c>
      <c r="M13" s="804"/>
      <c r="N13" s="334">
        <f t="shared" ref="N13:N14" si="4">N14-0.01</f>
        <v>3.7873758765999993E-2</v>
      </c>
      <c r="O13" s="377">
        <f>'SQURPHARMA Earnings Model T-1'!$AQ$220*(1+$N$13)/(O12-$N$13)</f>
        <v>129730.10864731179</v>
      </c>
      <c r="P13" s="377">
        <f>'SQURPHARMA Earnings Model T-1'!$AQ$220*(1+$N$13)/(P12-$N$13)</f>
        <v>125123.63096659689</v>
      </c>
      <c r="Q13" s="377">
        <f>'SQURPHARMA Earnings Model T-1'!$AQ$220*(1+$N$13)/(Q12-$N$13)</f>
        <v>120726.92216762587</v>
      </c>
      <c r="R13" s="377">
        <f>'SQURPHARMA Earnings Model T-1'!$AQ$220*(1+$N$13)/(R12-$N$13)</f>
        <v>116628.71549269096</v>
      </c>
      <c r="S13" s="378">
        <f>'SQURPHARMA Earnings Model T-1'!$AQ$220*(1+$N$13)/(S12-$N$13)</f>
        <v>112707.10123340727</v>
      </c>
    </row>
    <row r="14" spans="2:19">
      <c r="B14" s="578" t="s">
        <v>373</v>
      </c>
      <c r="C14" s="379"/>
      <c r="D14" s="379"/>
      <c r="E14" s="379"/>
      <c r="F14" s="379"/>
      <c r="G14" s="380">
        <f t="array" ref="G14">NPV(C6,D13:G13)</f>
        <v>95611.375755351823</v>
      </c>
      <c r="M14" s="804"/>
      <c r="N14" s="334">
        <f t="shared" si="4"/>
        <v>4.7873758765999995E-2</v>
      </c>
      <c r="O14" s="377">
        <f>'SQURPHARMA Earnings Model T-1'!$AQ$220*(1+$N$14)/(O12-$N$14)</f>
        <v>148011.23836650021</v>
      </c>
      <c r="P14" s="377">
        <f>'SQURPHARMA Earnings Model T-1'!$AQ$220*(1+$N$14)/(P12-$N$14)</f>
        <v>142099.5463384162</v>
      </c>
      <c r="Q14" s="377">
        <f>'SQURPHARMA Earnings Model T-1'!$AQ$220*(1+$N$14)/(Q12-$N$14)</f>
        <v>136507.52171070321</v>
      </c>
      <c r="R14" s="377">
        <f>'SQURPHARMA Earnings Model T-1'!$AQ$220*(1+$N$14)/(R12-$N$14)</f>
        <v>131338.95712519018</v>
      </c>
      <c r="S14" s="378">
        <f>'SQURPHARMA Earnings Model T-1'!$AQ$220*(1+$N$14)/(S12-$N$14)</f>
        <v>126432.19604121172</v>
      </c>
    </row>
    <row r="15" spans="2:19">
      <c r="B15" s="381"/>
      <c r="M15" s="804"/>
      <c r="N15" s="334">
        <f>C7</f>
        <v>5.7873758765999997E-2</v>
      </c>
      <c r="O15" s="377">
        <f>'SQURPHARMA Earnings Model T-1'!$AQ$220*(1+$N$15)/(O12-$N$15)</f>
        <v>171757.08106870405</v>
      </c>
      <c r="P15" s="377">
        <f>'SQURPHARMA Earnings Model T-1'!$AQ$220*(1+$N$15)/(P12-$N$15)</f>
        <v>163918.41894116055</v>
      </c>
      <c r="Q15" s="377">
        <f>'SQURPHARMA Earnings Model T-1'!$AQ$220*(1+$N$15)/(Q12-$N$15)</f>
        <v>156588.76811017148</v>
      </c>
      <c r="R15" s="377">
        <f>'SQURPHARMA Earnings Model T-1'!$AQ$220*(1+$N$15)/(R12-$N$15)</f>
        <v>149886.55537382138</v>
      </c>
      <c r="S15" s="378">
        <f>'SQURPHARMA Earnings Model T-1'!$AQ$220*(1+$N$15)/(S12-$N$15)</f>
        <v>143587.18493956057</v>
      </c>
    </row>
    <row r="16" spans="2:19">
      <c r="B16" s="382"/>
      <c r="M16" s="804"/>
      <c r="N16" s="334">
        <f t="shared" ref="N16:N17" si="5">N15+0.01</f>
        <v>6.7873758765999992E-2</v>
      </c>
      <c r="O16" s="377">
        <f>'SQURPHARMA Earnings Model T-1'!$AQ$220*(1+$N$16)/(O12-$N$16)</f>
        <v>203848.54776369728</v>
      </c>
      <c r="P16" s="377">
        <f>'SQURPHARMA Earnings Model T-1'!$AQ$220*(1+$N$16)/(P12-$N$16)</f>
        <v>192997.47403059175</v>
      </c>
      <c r="Q16" s="377">
        <f>'SQURPHARMA Earnings Model T-1'!$AQ$220*(1+$N$16)/(Q12-$N$16)</f>
        <v>183006.08198709856</v>
      </c>
      <c r="R16" s="377">
        <f>'SQURPHARMA Earnings Model T-1'!$AQ$220*(1+$N$16)/(R12-$N$16)</f>
        <v>173998.27014578594</v>
      </c>
      <c r="S16" s="378">
        <f>'SQURPHARMA Earnings Model T-1'!$AQ$220*(1+$N$16)/(S12-$N$16)</f>
        <v>165641.34712113606</v>
      </c>
    </row>
    <row r="17" spans="2:19">
      <c r="B17" s="802" t="s">
        <v>405</v>
      </c>
      <c r="C17" s="764"/>
      <c r="D17" s="756"/>
      <c r="M17" s="805"/>
      <c r="N17" s="383">
        <f t="shared" si="5"/>
        <v>7.7873758765999987E-2</v>
      </c>
      <c r="O17" s="384">
        <f>'SQURPHARMA Earnings Model T-1'!$AQ$220*(1+$N$17)/(O12-$N$17)</f>
        <v>249623.29725934795</v>
      </c>
      <c r="P17" s="384">
        <f>'SQURPHARMA Earnings Model T-1'!$AQ$220*(1+$N$17)/(P12-$N$17)</f>
        <v>233683.64244543418</v>
      </c>
      <c r="Q17" s="384">
        <f>'SQURPHARMA Earnings Model T-1'!$AQ$220*(1+$N$17)/(Q12-$N$17)</f>
        <v>219319.91207622745</v>
      </c>
      <c r="R17" s="384">
        <f>'SQURPHARMA Earnings Model T-1'!$AQ$220*(1+$N$17)/(R12-$N$17)</f>
        <v>206619.70870009591</v>
      </c>
      <c r="S17" s="385">
        <f>'SQURPHARMA Earnings Model T-1'!$AQ$220*(1+$N$17)/(S12-$N$17)</f>
        <v>195042.95619723178</v>
      </c>
    </row>
    <row r="18" spans="2:19">
      <c r="B18" s="386" t="s">
        <v>401</v>
      </c>
      <c r="C18" s="814">
        <f>G11</f>
        <v>59173.170559248225</v>
      </c>
      <c r="D18" s="736"/>
    </row>
    <row r="19" spans="2:19">
      <c r="B19" s="213" t="s">
        <v>373</v>
      </c>
      <c r="C19" s="814">
        <f>G14</f>
        <v>95611.375755351823</v>
      </c>
      <c r="D19" s="736"/>
    </row>
    <row r="20" spans="2:19">
      <c r="B20" s="387" t="s">
        <v>406</v>
      </c>
      <c r="C20" s="811">
        <f>SUM(C18:C19)</f>
        <v>154784.54631460004</v>
      </c>
      <c r="D20" s="736"/>
      <c r="M20" s="802" t="s">
        <v>407</v>
      </c>
      <c r="N20" s="764"/>
      <c r="O20" s="764"/>
      <c r="P20" s="764"/>
      <c r="Q20" s="764"/>
      <c r="R20" s="764"/>
      <c r="S20" s="756"/>
    </row>
    <row r="21" spans="2:19">
      <c r="B21" s="386" t="s">
        <v>408</v>
      </c>
      <c r="C21" s="815">
        <f>'SQURPHARMA Earnings Model T-1'!AQ219</f>
        <v>93785.346528175869</v>
      </c>
      <c r="D21" s="736"/>
      <c r="M21" s="803" t="s">
        <v>402</v>
      </c>
      <c r="N21" s="581"/>
      <c r="O21" s="806" t="s">
        <v>403</v>
      </c>
      <c r="P21" s="807"/>
      <c r="Q21" s="807"/>
      <c r="R21" s="807"/>
      <c r="S21" s="808"/>
    </row>
    <row r="22" spans="2:19">
      <c r="B22" s="386" t="s">
        <v>409</v>
      </c>
      <c r="C22" s="816"/>
      <c r="D22" s="736"/>
      <c r="M22" s="804"/>
      <c r="N22" s="334"/>
      <c r="O22" s="334">
        <f t="shared" ref="O22:S22" si="6">O12</f>
        <v>0.12477985164226686</v>
      </c>
      <c r="P22" s="334">
        <f t="shared" si="6"/>
        <v>0.12797933501770961</v>
      </c>
      <c r="Q22" s="334">
        <f t="shared" si="6"/>
        <v>0.13126085642842011</v>
      </c>
      <c r="R22" s="334">
        <f t="shared" si="6"/>
        <v>0.13454237783913062</v>
      </c>
      <c r="S22" s="295">
        <f t="shared" si="6"/>
        <v>0.13790593728510886</v>
      </c>
    </row>
    <row r="23" spans="2:19">
      <c r="B23" s="387" t="s">
        <v>374</v>
      </c>
      <c r="C23" s="811">
        <f>C20+C21</f>
        <v>248569.89284277591</v>
      </c>
      <c r="D23" s="736"/>
      <c r="M23" s="804"/>
      <c r="N23" s="334">
        <f t="shared" ref="N23:N27" si="7">N13</f>
        <v>3.7873758765999993E-2</v>
      </c>
      <c r="O23" s="377">
        <f t="shared" ref="O23:S23" si="8">NPV($C$6,$D$13,$E$13,$F$13,O13)</f>
        <v>79211.774345998201</v>
      </c>
      <c r="P23" s="377">
        <f t="shared" si="8"/>
        <v>76399.10985061372</v>
      </c>
      <c r="Q23" s="377">
        <f t="shared" si="8"/>
        <v>73714.527922173525</v>
      </c>
      <c r="R23" s="377">
        <f t="shared" si="8"/>
        <v>71212.208100329022</v>
      </c>
      <c r="S23" s="378">
        <f t="shared" si="8"/>
        <v>68817.713660931477</v>
      </c>
    </row>
    <row r="24" spans="2:19">
      <c r="B24" s="386" t="s">
        <v>375</v>
      </c>
      <c r="C24" s="284"/>
      <c r="D24" s="388">
        <f>'SQURPHARMA Earnings Model T-1'!AQ40</f>
        <v>886.45101000000057</v>
      </c>
      <c r="M24" s="804"/>
      <c r="N24" s="334">
        <f t="shared" si="7"/>
        <v>4.7873758765999995E-2</v>
      </c>
      <c r="O24" s="377">
        <f t="shared" ref="O24:S24" si="9">NPV($C$6,$D$13,$E$13,$F$13,O14)</f>
        <v>90374.030642592174</v>
      </c>
      <c r="P24" s="377">
        <f t="shared" si="9"/>
        <v>86764.416653871216</v>
      </c>
      <c r="Q24" s="377">
        <f t="shared" si="9"/>
        <v>83349.988056174625</v>
      </c>
      <c r="R24" s="377">
        <f t="shared" si="9"/>
        <v>80194.119492513637</v>
      </c>
      <c r="S24" s="378">
        <f t="shared" si="9"/>
        <v>77198.105261071905</v>
      </c>
    </row>
    <row r="25" spans="2:19">
      <c r="B25" s="579" t="s">
        <v>410</v>
      </c>
      <c r="C25" s="812">
        <f>C23/D24</f>
        <v>280.41018628065609</v>
      </c>
      <c r="D25" s="813"/>
      <c r="M25" s="804"/>
      <c r="N25" s="334">
        <f t="shared" si="7"/>
        <v>5.7873758765999997E-2</v>
      </c>
      <c r="O25" s="377">
        <f t="shared" ref="O25:S25" si="10">NPV($C$6,$D$13,$E$13,$F$13,O15)</f>
        <v>104872.98044996608</v>
      </c>
      <c r="P25" s="377">
        <f t="shared" si="10"/>
        <v>100086.77975919558</v>
      </c>
      <c r="Q25" s="377">
        <f t="shared" si="10"/>
        <v>95611.375755351823</v>
      </c>
      <c r="R25" s="377">
        <f t="shared" si="10"/>
        <v>91519.078535945766</v>
      </c>
      <c r="S25" s="378">
        <f t="shared" si="10"/>
        <v>87672.752385729749</v>
      </c>
    </row>
    <row r="26" spans="2:19">
      <c r="M26" s="804"/>
      <c r="N26" s="334">
        <f t="shared" si="7"/>
        <v>6.7873758765999992E-2</v>
      </c>
      <c r="O26" s="377">
        <f t="shared" ref="O26:S26" si="11">NPV($C$6,$D$13,$E$13,$F$13,O16)</f>
        <v>124467.67627487084</v>
      </c>
      <c r="P26" s="377">
        <f t="shared" si="11"/>
        <v>117842.1302630711</v>
      </c>
      <c r="Q26" s="377">
        <f t="shared" si="11"/>
        <v>111741.49641481614</v>
      </c>
      <c r="R26" s="377">
        <f t="shared" si="11"/>
        <v>106241.42579616679</v>
      </c>
      <c r="S26" s="378">
        <f t="shared" si="11"/>
        <v>101138.78071432936</v>
      </c>
    </row>
    <row r="27" spans="2:19">
      <c r="M27" s="805"/>
      <c r="N27" s="383">
        <f t="shared" si="7"/>
        <v>7.7873758765999987E-2</v>
      </c>
      <c r="O27" s="384">
        <f t="shared" ref="O27:S27" si="12">NPV($C$6,$D$13,$E$13,$F$13,O17)</f>
        <v>152417.23374923907</v>
      </c>
      <c r="P27" s="384">
        <f t="shared" si="12"/>
        <v>142684.65622010583</v>
      </c>
      <c r="Q27" s="384">
        <f t="shared" si="12"/>
        <v>133914.32078574991</v>
      </c>
      <c r="R27" s="384">
        <f t="shared" si="12"/>
        <v>126159.71659657609</v>
      </c>
      <c r="S27" s="385">
        <f t="shared" si="12"/>
        <v>119091.07912700171</v>
      </c>
    </row>
    <row r="30" spans="2:19">
      <c r="M30" s="802" t="s">
        <v>411</v>
      </c>
      <c r="N30" s="764"/>
      <c r="O30" s="764"/>
      <c r="P30" s="764"/>
      <c r="Q30" s="764"/>
      <c r="R30" s="764"/>
      <c r="S30" s="756"/>
    </row>
    <row r="31" spans="2:19">
      <c r="M31" s="803" t="s">
        <v>402</v>
      </c>
      <c r="N31" s="581"/>
      <c r="O31" s="806" t="s">
        <v>403</v>
      </c>
      <c r="P31" s="807"/>
      <c r="Q31" s="807"/>
      <c r="R31" s="807"/>
      <c r="S31" s="808"/>
    </row>
    <row r="32" spans="2:19">
      <c r="M32" s="804"/>
      <c r="N32" s="334"/>
      <c r="O32" s="334">
        <f t="shared" ref="O32:S32" si="13">O12</f>
        <v>0.12477985164226686</v>
      </c>
      <c r="P32" s="334">
        <f t="shared" si="13"/>
        <v>0.12797933501770961</v>
      </c>
      <c r="Q32" s="334">
        <f t="shared" si="13"/>
        <v>0.13126085642842011</v>
      </c>
      <c r="R32" s="334">
        <f t="shared" si="13"/>
        <v>0.13454237783913062</v>
      </c>
      <c r="S32" s="295">
        <f t="shared" si="13"/>
        <v>0.13790593728510886</v>
      </c>
    </row>
    <row r="33" spans="13:19">
      <c r="M33" s="804"/>
      <c r="N33" s="334">
        <f t="shared" ref="N33:N37" si="14">N13</f>
        <v>3.7873758765999993E-2</v>
      </c>
      <c r="O33" s="377">
        <f t="shared" ref="O33:S33" si="15">SUM(O23,$C$18)</f>
        <v>138384.94490524643</v>
      </c>
      <c r="P33" s="377">
        <f t="shared" si="15"/>
        <v>135572.28040986194</v>
      </c>
      <c r="Q33" s="377">
        <f t="shared" si="15"/>
        <v>132887.69848142174</v>
      </c>
      <c r="R33" s="377">
        <f t="shared" si="15"/>
        <v>130385.37865957725</v>
      </c>
      <c r="S33" s="378">
        <f t="shared" si="15"/>
        <v>127990.88422017969</v>
      </c>
    </row>
    <row r="34" spans="13:19">
      <c r="M34" s="804"/>
      <c r="N34" s="334">
        <f t="shared" si="14"/>
        <v>4.7873758765999995E-2</v>
      </c>
      <c r="O34" s="377">
        <f t="shared" ref="O34:S34" si="16">SUM(O24,$C$18)</f>
        <v>149547.20120184039</v>
      </c>
      <c r="P34" s="377">
        <f t="shared" si="16"/>
        <v>145937.58721311943</v>
      </c>
      <c r="Q34" s="377">
        <f t="shared" si="16"/>
        <v>142523.15861542284</v>
      </c>
      <c r="R34" s="377">
        <f t="shared" si="16"/>
        <v>139367.29005176187</v>
      </c>
      <c r="S34" s="378">
        <f t="shared" si="16"/>
        <v>136371.27582032012</v>
      </c>
    </row>
    <row r="35" spans="13:19">
      <c r="M35" s="804"/>
      <c r="N35" s="334">
        <f t="shared" si="14"/>
        <v>5.7873758765999997E-2</v>
      </c>
      <c r="O35" s="377">
        <f t="shared" ref="O35:S35" si="17">SUM(O25,$C$18)</f>
        <v>164046.15100921431</v>
      </c>
      <c r="P35" s="377">
        <f t="shared" si="17"/>
        <v>159259.95031844379</v>
      </c>
      <c r="Q35" s="377">
        <f t="shared" si="17"/>
        <v>154784.54631460004</v>
      </c>
      <c r="R35" s="377">
        <f t="shared" si="17"/>
        <v>150692.24909519398</v>
      </c>
      <c r="S35" s="378">
        <f t="shared" si="17"/>
        <v>146845.92294497797</v>
      </c>
    </row>
    <row r="36" spans="13:19">
      <c r="M36" s="804"/>
      <c r="N36" s="334">
        <f t="shared" si="14"/>
        <v>6.7873758765999992E-2</v>
      </c>
      <c r="O36" s="377">
        <f t="shared" ref="O36:S36" si="18">SUM(O26,$C$18)</f>
        <v>183640.84683411906</v>
      </c>
      <c r="P36" s="377">
        <f t="shared" si="18"/>
        <v>177015.30082231932</v>
      </c>
      <c r="Q36" s="377">
        <f t="shared" si="18"/>
        <v>170914.66697406437</v>
      </c>
      <c r="R36" s="377">
        <f t="shared" si="18"/>
        <v>165414.59635541501</v>
      </c>
      <c r="S36" s="378">
        <f t="shared" si="18"/>
        <v>160311.95127357758</v>
      </c>
    </row>
    <row r="37" spans="13:19">
      <c r="M37" s="805"/>
      <c r="N37" s="383">
        <f t="shared" si="14"/>
        <v>7.7873758765999987E-2</v>
      </c>
      <c r="O37" s="384">
        <f t="shared" ref="O37:S37" si="19">SUM(O27,$C$18)</f>
        <v>211590.40430848728</v>
      </c>
      <c r="P37" s="384">
        <f t="shared" si="19"/>
        <v>201857.82677935404</v>
      </c>
      <c r="Q37" s="384">
        <f t="shared" si="19"/>
        <v>193087.49134499812</v>
      </c>
      <c r="R37" s="384">
        <f t="shared" si="19"/>
        <v>185332.88715582431</v>
      </c>
      <c r="S37" s="385">
        <f t="shared" si="19"/>
        <v>178264.24968624994</v>
      </c>
    </row>
    <row r="40" spans="13:19">
      <c r="M40" s="802" t="s">
        <v>412</v>
      </c>
      <c r="N40" s="764"/>
      <c r="O40" s="764"/>
      <c r="P40" s="764"/>
      <c r="Q40" s="764"/>
      <c r="R40" s="764"/>
      <c r="S40" s="756"/>
    </row>
    <row r="41" spans="13:19">
      <c r="M41" s="803" t="s">
        <v>402</v>
      </c>
      <c r="N41" s="581"/>
      <c r="O41" s="806" t="s">
        <v>403</v>
      </c>
      <c r="P41" s="807"/>
      <c r="Q41" s="807"/>
      <c r="R41" s="807"/>
      <c r="S41" s="808"/>
    </row>
    <row r="42" spans="13:19">
      <c r="M42" s="804"/>
      <c r="N42" s="334"/>
      <c r="O42" s="334">
        <f t="shared" ref="O42:S42" si="20">O12</f>
        <v>0.12477985164226686</v>
      </c>
      <c r="P42" s="334">
        <f t="shared" si="20"/>
        <v>0.12797933501770961</v>
      </c>
      <c r="Q42" s="334">
        <f t="shared" si="20"/>
        <v>0.13126085642842011</v>
      </c>
      <c r="R42" s="334">
        <f t="shared" si="20"/>
        <v>0.13454237783913062</v>
      </c>
      <c r="S42" s="295">
        <f t="shared" si="20"/>
        <v>0.13790593728510886</v>
      </c>
    </row>
    <row r="43" spans="13:19">
      <c r="M43" s="804"/>
      <c r="N43" s="334">
        <f t="shared" ref="N43:N47" si="21">N13</f>
        <v>3.7873758765999993E-2</v>
      </c>
      <c r="O43" s="377">
        <f t="shared" ref="O43:S43" si="22">($C$21+$C$22+O33)/$D$24</f>
        <v>261.90989554337824</v>
      </c>
      <c r="P43" s="377">
        <f t="shared" si="22"/>
        <v>258.73694581050529</v>
      </c>
      <c r="Q43" s="377">
        <f t="shared" si="22"/>
        <v>255.70848524341741</v>
      </c>
      <c r="R43" s="377">
        <f t="shared" si="22"/>
        <v>252.88563345170419</v>
      </c>
      <c r="S43" s="378">
        <f t="shared" si="22"/>
        <v>250.18441881898858</v>
      </c>
    </row>
    <row r="44" spans="13:19">
      <c r="M44" s="804"/>
      <c r="N44" s="334">
        <f t="shared" si="21"/>
        <v>4.7873758765999995E-2</v>
      </c>
      <c r="O44" s="377">
        <f t="shared" ref="O44:S44" si="23">($C$21+$C$22+O34)/$D$24</f>
        <v>274.50196907104441</v>
      </c>
      <c r="P44" s="377">
        <f t="shared" si="23"/>
        <v>270.42998545547954</v>
      </c>
      <c r="Q44" s="377">
        <f t="shared" si="23"/>
        <v>266.57818929395609</v>
      </c>
      <c r="R44" s="377">
        <f t="shared" si="23"/>
        <v>263.01807313631195</v>
      </c>
      <c r="S44" s="378">
        <f t="shared" si="23"/>
        <v>259.63828767987513</v>
      </c>
    </row>
    <row r="45" spans="13:19">
      <c r="M45" s="804"/>
      <c r="N45" s="334">
        <f t="shared" si="21"/>
        <v>5.7873758765999997E-2</v>
      </c>
      <c r="O45" s="377">
        <f t="shared" ref="O45:S45" si="24">($C$21+$C$22+O35)/$D$24</f>
        <v>290.85814628085313</v>
      </c>
      <c r="P45" s="377">
        <f t="shared" si="24"/>
        <v>285.45886235339674</v>
      </c>
      <c r="Q45" s="377">
        <f t="shared" si="24"/>
        <v>280.41018628065609</v>
      </c>
      <c r="R45" s="377">
        <f t="shared" si="24"/>
        <v>275.79369064441551</v>
      </c>
      <c r="S45" s="378">
        <f t="shared" si="24"/>
        <v>271.45467347727845</v>
      </c>
    </row>
    <row r="46" spans="13:19">
      <c r="M46" s="804"/>
      <c r="N46" s="334">
        <f t="shared" si="21"/>
        <v>6.7873758765999992E-2</v>
      </c>
      <c r="O46" s="377">
        <f t="shared" ref="O46:S46" si="25">($C$21+$C$22+O36)/$D$24</f>
        <v>312.96280362103118</v>
      </c>
      <c r="P46" s="377">
        <f t="shared" si="25"/>
        <v>305.48856540926613</v>
      </c>
      <c r="Q46" s="377">
        <f t="shared" si="25"/>
        <v>298.60647742083353</v>
      </c>
      <c r="R46" s="377">
        <f t="shared" si="25"/>
        <v>292.40188116384536</v>
      </c>
      <c r="S46" s="378">
        <f t="shared" si="25"/>
        <v>286.64561824093727</v>
      </c>
    </row>
    <row r="47" spans="13:19">
      <c r="M47" s="805"/>
      <c r="N47" s="383">
        <f t="shared" si="21"/>
        <v>7.7873758765999987E-2</v>
      </c>
      <c r="O47" s="384">
        <f t="shared" ref="O47:S47" si="26">($C$21+$C$22+O37)/$D$24</f>
        <v>344.49252963980825</v>
      </c>
      <c r="P47" s="384">
        <f t="shared" si="26"/>
        <v>333.51326804572051</v>
      </c>
      <c r="Q47" s="384">
        <f t="shared" si="26"/>
        <v>323.61950591400853</v>
      </c>
      <c r="R47" s="384">
        <f t="shared" si="26"/>
        <v>314.87158403034596</v>
      </c>
      <c r="S47" s="385">
        <f t="shared" si="26"/>
        <v>306.89749703644156</v>
      </c>
    </row>
  </sheetData>
  <mergeCells count="26">
    <mergeCell ref="B12:B13"/>
    <mergeCell ref="M20:S20"/>
    <mergeCell ref="O21:S21"/>
    <mergeCell ref="M30:S30"/>
    <mergeCell ref="M11:M17"/>
    <mergeCell ref="O11:S11"/>
    <mergeCell ref="C23:D23"/>
    <mergeCell ref="C25:D25"/>
    <mergeCell ref="B17:D17"/>
    <mergeCell ref="C18:D18"/>
    <mergeCell ref="C19:D19"/>
    <mergeCell ref="C20:D20"/>
    <mergeCell ref="C21:D21"/>
    <mergeCell ref="M21:M27"/>
    <mergeCell ref="C22:D22"/>
    <mergeCell ref="M31:M37"/>
    <mergeCell ref="O31:S31"/>
    <mergeCell ref="M40:S40"/>
    <mergeCell ref="M41:M47"/>
    <mergeCell ref="O41:S41"/>
    <mergeCell ref="C2:F2"/>
    <mergeCell ref="G2:J2"/>
    <mergeCell ref="M2:R2"/>
    <mergeCell ref="M6:Q6"/>
    <mergeCell ref="M10:S10"/>
    <mergeCell ref="B10:G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F21"/>
  <sheetViews>
    <sheetView workbookViewId="0">
      <selection activeCell="A11" sqref="A11:C11"/>
    </sheetView>
  </sheetViews>
  <sheetFormatPr defaultColWidth="14.44140625" defaultRowHeight="15" customHeight="1"/>
  <cols>
    <col min="1" max="1" width="30.6640625" customWidth="1"/>
    <col min="2" max="2" width="15.88671875" customWidth="1"/>
  </cols>
  <sheetData>
    <row r="3" spans="1:6">
      <c r="A3" s="817" t="s">
        <v>413</v>
      </c>
      <c r="B3" s="818"/>
      <c r="C3" s="818"/>
      <c r="D3" s="818"/>
      <c r="E3" s="818"/>
      <c r="F3" s="819"/>
    </row>
    <row r="4" spans="1:6">
      <c r="A4" s="586" t="s">
        <v>414</v>
      </c>
      <c r="B4" s="390" t="s">
        <v>415</v>
      </c>
      <c r="C4" s="391" t="s">
        <v>380</v>
      </c>
      <c r="D4" s="391" t="s">
        <v>416</v>
      </c>
      <c r="E4" s="391" t="s">
        <v>417</v>
      </c>
      <c r="F4" s="391" t="s">
        <v>378</v>
      </c>
    </row>
    <row r="5" spans="1:6">
      <c r="A5" s="392" t="s">
        <v>418</v>
      </c>
      <c r="B5" s="393" t="s">
        <v>418</v>
      </c>
      <c r="C5" s="394">
        <f t="shared" ref="C5:C6" si="0">E16/C16</f>
        <v>8.8987717069038546</v>
      </c>
      <c r="D5" s="395">
        <f t="shared" ref="D5:D10" si="1">E16/D16</f>
        <v>1.479056670186554</v>
      </c>
      <c r="E5" s="286">
        <v>1.4</v>
      </c>
      <c r="F5" s="286">
        <f t="shared" ref="F5:F10" si="2">E16</f>
        <v>210.1</v>
      </c>
    </row>
    <row r="6" spans="1:6">
      <c r="A6" s="389" t="s">
        <v>419</v>
      </c>
      <c r="B6" s="393" t="s">
        <v>420</v>
      </c>
      <c r="C6" s="394">
        <f t="shared" si="0"/>
        <v>6.694720734506503</v>
      </c>
      <c r="D6" s="395">
        <f t="shared" si="1"/>
        <v>0.81410494975809455</v>
      </c>
      <c r="E6" s="286">
        <v>1</v>
      </c>
      <c r="F6" s="286">
        <f t="shared" si="2"/>
        <v>87.5</v>
      </c>
    </row>
    <row r="7" spans="1:6">
      <c r="A7" s="389" t="s">
        <v>421</v>
      </c>
      <c r="B7" s="393" t="s">
        <v>422</v>
      </c>
      <c r="C7" s="396" t="s">
        <v>84</v>
      </c>
      <c r="D7" s="395">
        <f t="shared" si="1"/>
        <v>2.0478227487111988</v>
      </c>
      <c r="E7" s="286">
        <v>1.7</v>
      </c>
      <c r="F7" s="286">
        <f t="shared" si="2"/>
        <v>186.7</v>
      </c>
    </row>
    <row r="8" spans="1:6">
      <c r="A8" s="389" t="s">
        <v>423</v>
      </c>
      <c r="B8" s="393" t="s">
        <v>424</v>
      </c>
      <c r="C8" s="394">
        <f t="shared" ref="C8:C10" si="3">E19/C19</f>
        <v>20.732550103662753</v>
      </c>
      <c r="D8" s="395">
        <f t="shared" si="1"/>
        <v>9.4113620807665992</v>
      </c>
      <c r="E8" s="286">
        <v>25.6</v>
      </c>
      <c r="F8" s="286">
        <f t="shared" si="2"/>
        <v>3300</v>
      </c>
    </row>
    <row r="9" spans="1:6">
      <c r="A9" s="389" t="s">
        <v>425</v>
      </c>
      <c r="B9" s="397" t="s">
        <v>426</v>
      </c>
      <c r="C9" s="394">
        <f t="shared" si="3"/>
        <v>6.2618432385874252</v>
      </c>
      <c r="D9" s="395">
        <f t="shared" si="1"/>
        <v>0.61407213447081677</v>
      </c>
      <c r="E9" s="286">
        <v>0.6</v>
      </c>
      <c r="F9" s="286">
        <f t="shared" si="2"/>
        <v>72.7</v>
      </c>
    </row>
    <row r="10" spans="1:6">
      <c r="A10" s="389" t="s">
        <v>427</v>
      </c>
      <c r="B10" s="393" t="s">
        <v>428</v>
      </c>
      <c r="C10" s="394">
        <f t="shared" si="3"/>
        <v>15.528068506184587</v>
      </c>
      <c r="D10" s="395">
        <f t="shared" si="1"/>
        <v>1.6565164433617541</v>
      </c>
      <c r="E10" s="286">
        <v>1.3</v>
      </c>
      <c r="F10" s="286">
        <f t="shared" si="2"/>
        <v>489.6</v>
      </c>
    </row>
    <row r="11" spans="1:6">
      <c r="A11" s="582" t="s">
        <v>429</v>
      </c>
      <c r="B11" s="583"/>
      <c r="C11" s="584">
        <f t="shared" ref="C11:E11" si="4">AVERAGE(C5:C10)</f>
        <v>11.623190857969025</v>
      </c>
      <c r="D11" s="584">
        <f t="shared" si="4"/>
        <v>2.6704891712091694</v>
      </c>
      <c r="E11" s="584">
        <f t="shared" si="4"/>
        <v>5.2666666666666675</v>
      </c>
      <c r="F11" s="585"/>
    </row>
    <row r="13" spans="1:6">
      <c r="F13" s="204"/>
    </row>
    <row r="14" spans="1:6">
      <c r="A14" s="820" t="s">
        <v>413</v>
      </c>
      <c r="B14" s="818"/>
      <c r="C14" s="818"/>
      <c r="D14" s="818"/>
      <c r="E14" s="818"/>
      <c r="F14" s="398"/>
    </row>
    <row r="15" spans="1:6">
      <c r="A15" s="586" t="s">
        <v>414</v>
      </c>
      <c r="B15" s="390" t="s">
        <v>415</v>
      </c>
      <c r="C15" s="399" t="s">
        <v>379</v>
      </c>
      <c r="D15" s="399" t="s">
        <v>430</v>
      </c>
      <c r="E15" s="399" t="s">
        <v>378</v>
      </c>
      <c r="F15" s="204"/>
    </row>
    <row r="16" spans="1:6">
      <c r="A16" s="392" t="s">
        <v>418</v>
      </c>
      <c r="B16" s="393" t="s">
        <v>418</v>
      </c>
      <c r="C16" s="400">
        <v>23.61</v>
      </c>
      <c r="D16" s="401">
        <v>142.05000000000001</v>
      </c>
      <c r="E16" s="286">
        <v>210.1</v>
      </c>
    </row>
    <row r="17" spans="1:5">
      <c r="A17" s="389" t="s">
        <v>419</v>
      </c>
      <c r="B17" s="393" t="s">
        <v>420</v>
      </c>
      <c r="C17" s="400">
        <v>13.07</v>
      </c>
      <c r="D17" s="401">
        <v>107.48</v>
      </c>
      <c r="E17" s="286">
        <v>87.5</v>
      </c>
    </row>
    <row r="18" spans="1:5">
      <c r="A18" s="389" t="s">
        <v>421</v>
      </c>
      <c r="B18" s="393" t="s">
        <v>422</v>
      </c>
      <c r="C18" s="161">
        <v>-18.25</v>
      </c>
      <c r="D18" s="240">
        <v>91.17</v>
      </c>
      <c r="E18" s="286">
        <v>186.7</v>
      </c>
    </row>
    <row r="19" spans="1:5">
      <c r="A19" s="389" t="s">
        <v>423</v>
      </c>
      <c r="B19" s="393" t="s">
        <v>424</v>
      </c>
      <c r="C19" s="161">
        <v>159.16999999999999</v>
      </c>
      <c r="D19" s="240">
        <v>350.64</v>
      </c>
      <c r="E19" s="402">
        <v>3300</v>
      </c>
    </row>
    <row r="20" spans="1:5">
      <c r="A20" s="389" t="s">
        <v>425</v>
      </c>
      <c r="B20" s="397" t="s">
        <v>426</v>
      </c>
      <c r="C20" s="392">
        <v>11.61</v>
      </c>
      <c r="D20" s="392">
        <v>118.39</v>
      </c>
      <c r="E20" s="402">
        <v>72.7</v>
      </c>
    </row>
    <row r="21" spans="1:5">
      <c r="A21" s="389" t="s">
        <v>427</v>
      </c>
      <c r="B21" s="393" t="s">
        <v>428</v>
      </c>
      <c r="C21" s="403">
        <v>31.53</v>
      </c>
      <c r="D21" s="161">
        <v>295.56</v>
      </c>
      <c r="E21" s="369">
        <v>489.6</v>
      </c>
    </row>
  </sheetData>
  <mergeCells count="2">
    <mergeCell ref="A3:F3"/>
    <mergeCell ref="A14:E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1:R13"/>
  <sheetViews>
    <sheetView workbookViewId="0">
      <selection activeCell="C15" sqref="C15"/>
    </sheetView>
  </sheetViews>
  <sheetFormatPr defaultColWidth="14.44140625" defaultRowHeight="15" customHeight="1"/>
  <cols>
    <col min="1" max="1" width="14.6640625" customWidth="1"/>
    <col min="3" max="3" width="48.33203125" customWidth="1"/>
    <col min="4" max="4" width="35.5546875" customWidth="1"/>
  </cols>
  <sheetData>
    <row r="1" spans="2:18" ht="8.4" customHeight="1"/>
    <row r="2" spans="2:18" ht="25.8" customHeight="1">
      <c r="B2" s="821" t="s">
        <v>431</v>
      </c>
      <c r="C2" s="822"/>
      <c r="D2" s="822"/>
      <c r="E2" s="822"/>
      <c r="F2" s="822"/>
      <c r="G2" s="822"/>
      <c r="H2" s="822"/>
      <c r="I2" s="822"/>
      <c r="J2" s="822"/>
      <c r="K2" s="822"/>
      <c r="L2" s="822"/>
      <c r="M2" s="822"/>
      <c r="N2" s="822"/>
      <c r="O2" s="822"/>
      <c r="P2" s="822"/>
      <c r="Q2" s="822"/>
      <c r="R2" s="822"/>
    </row>
    <row r="5" spans="2:18" ht="16.95" customHeight="1">
      <c r="B5" s="404"/>
      <c r="C5" s="587" t="s">
        <v>432</v>
      </c>
      <c r="D5" s="588">
        <f>('SQURPHARMA Earnings Model T-1'!W89-'SQURPHARMA Earnings Model T-1'!W112-'SQURPHARMA Earnings Model T-1'!W108)/'SQURPHARMA Earnings Model T-1'!W96</f>
        <v>0.48621311583376742</v>
      </c>
    </row>
    <row r="6" spans="2:18" ht="16.95" customHeight="1">
      <c r="B6" s="404"/>
      <c r="C6" s="587" t="s">
        <v>433</v>
      </c>
      <c r="D6" s="588">
        <f>'SQURPHARMA Earnings Model T-1'!W124/'SQURPHARMA Earnings Model T-1'!W96</f>
        <v>0.86053591628876069</v>
      </c>
    </row>
    <row r="7" spans="2:18" ht="16.95" customHeight="1">
      <c r="B7" s="404"/>
      <c r="C7" s="587" t="s">
        <v>434</v>
      </c>
      <c r="D7" s="588">
        <f>'SQURPHARMA Earnings Model T-1'!W25/'SQURPHARMA Earnings Model T-1'!W96</f>
        <v>0.1449916216361275</v>
      </c>
    </row>
    <row r="8" spans="2:18" ht="16.95" customHeight="1">
      <c r="B8" s="404"/>
      <c r="C8" s="587" t="s">
        <v>435</v>
      </c>
      <c r="D8" s="588">
        <f>'SQURPHARMA Earnings Model T-1'!W117/('SQURPHARMA Earnings Model T-1'!W112+'SQURPHARMA Earnings Model T-1'!W108)</f>
        <v>1.319992477047645</v>
      </c>
    </row>
    <row r="9" spans="2:18" ht="16.95" customHeight="1">
      <c r="B9" s="404"/>
      <c r="C9" s="587" t="s">
        <v>436</v>
      </c>
      <c r="D9" s="588">
        <f>'SQURPHARMA Earnings Model T-1'!W17/'SQURPHARMA Earnings Model T-1'!W96</f>
        <v>0.52851713357821473</v>
      </c>
    </row>
    <row r="10" spans="2:18" ht="16.95" customHeight="1"/>
    <row r="11" spans="2:18" ht="16.95" customHeight="1">
      <c r="C11" s="589" t="s">
        <v>437</v>
      </c>
      <c r="D11" s="590">
        <f>1.2*D5+1.4*D6+3.3*D7+0.6*D8+1*D9</f>
        <v>3.5871909930108079</v>
      </c>
      <c r="F11" s="215" t="s">
        <v>438</v>
      </c>
    </row>
    <row r="13" spans="2:18" ht="17.399999999999999" customHeight="1">
      <c r="C13" s="823" t="s">
        <v>439</v>
      </c>
      <c r="D13" s="824"/>
    </row>
  </sheetData>
  <mergeCells count="2">
    <mergeCell ref="B2:R2"/>
    <mergeCell ref="C13:D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3:O37"/>
  <sheetViews>
    <sheetView topLeftCell="A13" workbookViewId="0">
      <selection activeCell="B23" sqref="B23:D23"/>
    </sheetView>
  </sheetViews>
  <sheetFormatPr defaultColWidth="14.44140625" defaultRowHeight="15" customHeight="1"/>
  <cols>
    <col min="1" max="1" width="2.88671875" customWidth="1"/>
    <col min="2" max="2" width="34.33203125" customWidth="1"/>
    <col min="3" max="4" width="17.44140625" customWidth="1"/>
    <col min="9" max="9" width="16.5546875" customWidth="1"/>
  </cols>
  <sheetData>
    <row r="3" spans="2:4">
      <c r="B3" s="591" t="s">
        <v>440</v>
      </c>
      <c r="C3" s="592"/>
      <c r="D3" s="593" t="s">
        <v>441</v>
      </c>
    </row>
    <row r="4" spans="2:4">
      <c r="B4" s="219" t="s">
        <v>442</v>
      </c>
      <c r="D4" s="85">
        <f>(D27/D25)/(C27/C25)</f>
        <v>0.65841284077314188</v>
      </c>
    </row>
    <row r="5" spans="2:4">
      <c r="B5" s="219" t="s">
        <v>443</v>
      </c>
      <c r="D5" s="85">
        <f>((C25-C26)/C25)/((D25-D26)/D25)</f>
        <v>1.0463577454925028</v>
      </c>
    </row>
    <row r="6" spans="2:4">
      <c r="B6" s="219" t="s">
        <v>444</v>
      </c>
      <c r="D6" s="85">
        <f>(1-(D29+D28)/D31)/(1-(C29+C28)/C31)</f>
        <v>1.2241115994604312</v>
      </c>
    </row>
    <row r="7" spans="2:4">
      <c r="B7" s="219" t="s">
        <v>445</v>
      </c>
      <c r="D7" s="85">
        <f>D25/C25</f>
        <v>1.1171891613581608</v>
      </c>
    </row>
    <row r="8" spans="2:4">
      <c r="B8" s="219" t="s">
        <v>446</v>
      </c>
      <c r="D8" s="405">
        <f>C37/D37</f>
        <v>1.05592128909842</v>
      </c>
    </row>
    <row r="9" spans="2:4">
      <c r="B9" s="219" t="s">
        <v>447</v>
      </c>
      <c r="D9" s="85">
        <f>(D32/D25)/(C32/C25)</f>
        <v>0.94232589662349409</v>
      </c>
    </row>
    <row r="10" spans="2:4">
      <c r="B10" s="219" t="s">
        <v>448</v>
      </c>
      <c r="D10" s="85">
        <f>((D36+D35)/D31)/((C36+C35)/C31)</f>
        <v>1.000287484384272</v>
      </c>
    </row>
    <row r="11" spans="2:4">
      <c r="B11" s="219" t="s">
        <v>449</v>
      </c>
      <c r="D11" s="85">
        <f>(D33-D34)/D25</f>
        <v>3.4216210305004227E-2</v>
      </c>
    </row>
    <row r="12" spans="2:4">
      <c r="B12" s="406"/>
      <c r="C12" s="379"/>
      <c r="D12" s="407"/>
    </row>
    <row r="14" spans="2:4">
      <c r="B14" s="594"/>
      <c r="C14" s="594" t="s">
        <v>450</v>
      </c>
      <c r="D14" s="595" t="s">
        <v>451</v>
      </c>
    </row>
    <row r="15" spans="2:4">
      <c r="B15" s="386" t="s">
        <v>452</v>
      </c>
      <c r="C15" s="284">
        <f>-6.065+0.823*D4+0.906*D5+0.593*D6+0.717*D7+0.107*D8</f>
        <v>-2.9352197295201288</v>
      </c>
      <c r="D15" s="408">
        <f>1-0.9984</f>
        <v>1.6000000000000458E-3</v>
      </c>
    </row>
    <row r="16" spans="2:4">
      <c r="B16" s="406" t="s">
        <v>453</v>
      </c>
      <c r="C16" s="409">
        <f>-4.84 +0.92*D4+0.528*D5+0.404*D6+0.892*D7+0.115*D8-0.172*D9+ 4.679*D11-0.327*D10</f>
        <v>-2.3983549441046392</v>
      </c>
      <c r="D16" s="410">
        <f>1-0.9918</f>
        <v>8.1999999999999851E-3</v>
      </c>
    </row>
    <row r="17" spans="2:15">
      <c r="C17" s="204"/>
    </row>
    <row r="19" spans="2:15">
      <c r="B19" s="825" t="s">
        <v>454</v>
      </c>
      <c r="C19" s="822"/>
      <c r="D19" s="822"/>
      <c r="E19" s="822"/>
      <c r="F19" s="822"/>
      <c r="G19" s="822"/>
      <c r="H19" s="822"/>
      <c r="I19" s="822"/>
      <c r="J19" s="284"/>
      <c r="K19" s="284"/>
      <c r="L19" s="284"/>
      <c r="M19" s="284"/>
      <c r="N19" s="284"/>
      <c r="O19" s="284"/>
    </row>
    <row r="20" spans="2:15">
      <c r="B20" s="599" t="s">
        <v>452</v>
      </c>
      <c r="C20" s="599" t="s">
        <v>455</v>
      </c>
      <c r="D20" s="599"/>
      <c r="E20" s="599"/>
      <c r="F20" s="599"/>
      <c r="G20" s="599"/>
      <c r="H20" s="599"/>
      <c r="I20" s="599"/>
      <c r="J20" s="284"/>
      <c r="K20" s="284"/>
      <c r="L20" s="284"/>
      <c r="M20" s="284"/>
      <c r="N20" s="284"/>
      <c r="O20" s="284"/>
    </row>
    <row r="21" spans="2:15">
      <c r="B21" s="599" t="s">
        <v>453</v>
      </c>
      <c r="C21" s="600" t="s">
        <v>456</v>
      </c>
      <c r="D21" s="600"/>
      <c r="E21" s="600"/>
      <c r="F21" s="600"/>
      <c r="G21" s="600"/>
      <c r="H21" s="600"/>
      <c r="I21" s="600"/>
      <c r="J21" s="1"/>
      <c r="K21" s="1"/>
      <c r="L21" s="1"/>
      <c r="M21" s="1"/>
      <c r="N21" s="1"/>
      <c r="O21" s="284"/>
    </row>
    <row r="22" spans="2:15">
      <c r="B22" s="204"/>
      <c r="C22" s="204"/>
      <c r="D22" s="204"/>
      <c r="E22" s="204"/>
      <c r="F22" s="204"/>
      <c r="G22" s="204"/>
      <c r="H22" s="204"/>
      <c r="I22" s="204"/>
      <c r="J22" s="204"/>
      <c r="K22" s="204"/>
      <c r="L22" s="204"/>
      <c r="M22" s="204"/>
      <c r="N22" s="204"/>
      <c r="O22" s="204"/>
    </row>
    <row r="23" spans="2:15">
      <c r="B23" s="596" t="s">
        <v>457</v>
      </c>
      <c r="C23" s="597"/>
      <c r="D23" s="598"/>
    </row>
    <row r="24" spans="2:15">
      <c r="B24" s="601" t="s">
        <v>394</v>
      </c>
      <c r="C24" s="602">
        <v>2023</v>
      </c>
      <c r="D24" s="603">
        <v>2024</v>
      </c>
    </row>
    <row r="25" spans="2:15">
      <c r="B25" s="386" t="s">
        <v>458</v>
      </c>
      <c r="C25" s="411">
        <f>'SQURPHARMA Earnings Model T-1'!R17</f>
        <v>62747.682864000002</v>
      </c>
      <c r="D25" s="412">
        <f>'SQURPHARMA Earnings Model T-1'!W17</f>
        <v>70101.031195999996</v>
      </c>
    </row>
    <row r="26" spans="2:15">
      <c r="B26" s="386" t="s">
        <v>459</v>
      </c>
      <c r="C26" s="411">
        <f>'SQURPHARMA Earnings Model T-1'!R18</f>
        <v>31772.0933</v>
      </c>
      <c r="D26" s="412">
        <f>'SQURPHARMA Earnings Model T-1'!W18</f>
        <v>37028.601544999998</v>
      </c>
    </row>
    <row r="27" spans="2:15">
      <c r="B27" s="386" t="s">
        <v>460</v>
      </c>
      <c r="C27" s="413">
        <f>'SQURPHARMA Earnings Model T-1'!R83</f>
        <v>6122.294097</v>
      </c>
      <c r="D27" s="210">
        <f>'SQURPHARMA Earnings Model T-1'!W83</f>
        <v>4503.3862120000003</v>
      </c>
    </row>
    <row r="28" spans="2:15">
      <c r="B28" s="386" t="s">
        <v>461</v>
      </c>
      <c r="C28" s="413">
        <f>'SQURPHARMA Earnings Model T-1'!R89</f>
        <v>70486.794699999999</v>
      </c>
      <c r="D28" s="210">
        <f>'SQURPHARMA Earnings Model T-1'!W89</f>
        <v>71205.521085999993</v>
      </c>
    </row>
    <row r="29" spans="2:15">
      <c r="B29" s="386" t="s">
        <v>462</v>
      </c>
      <c r="C29" s="413">
        <f>'SQURPHARMA Earnings Model T-1'!R91</f>
        <v>26058.821898999999</v>
      </c>
      <c r="D29" s="210">
        <f>'SQURPHARMA Earnings Model T-1'!W91</f>
        <v>27750.005863999999</v>
      </c>
    </row>
    <row r="30" spans="2:15">
      <c r="B30" s="386" t="s">
        <v>275</v>
      </c>
      <c r="C30" s="413">
        <f>'SQURPHARMA Earnings Model T-1'!R162</f>
        <v>2309.8994459999999</v>
      </c>
      <c r="D30" s="405">
        <f>'SQURPHARMA Earnings Model T-1'!W162</f>
        <v>2318.6533840000002</v>
      </c>
    </row>
    <row r="31" spans="2:15">
      <c r="B31" s="386" t="s">
        <v>463</v>
      </c>
      <c r="C31" s="413">
        <f>'SQURPHARMA Earnings Model T-1'!R96</f>
        <v>121815.983312</v>
      </c>
      <c r="D31" s="210">
        <f>'SQURPHARMA Earnings Model T-1'!W96</f>
        <v>132637.19705999998</v>
      </c>
    </row>
    <row r="32" spans="2:15">
      <c r="B32" s="386" t="s">
        <v>464</v>
      </c>
      <c r="C32" s="411">
        <f>'SQURPHARMA Earnings Model T-1'!R23</f>
        <v>13469.246061000002</v>
      </c>
      <c r="D32" s="412">
        <f>'SQURPHARMA Earnings Model T-1'!W23</f>
        <v>14179.833353</v>
      </c>
    </row>
    <row r="33" spans="2:4">
      <c r="B33" s="386" t="s">
        <v>465</v>
      </c>
      <c r="C33" s="411">
        <f>'SQURPHARMA Earnings Model T-1'!R39</f>
        <v>18980.024318</v>
      </c>
      <c r="D33" s="412">
        <f>'SQURPHARMA Earnings Model T-1'!W39</f>
        <v>20927.445920999999</v>
      </c>
    </row>
    <row r="34" spans="2:4">
      <c r="B34" s="386" t="s">
        <v>466</v>
      </c>
      <c r="C34" s="413">
        <f>'SQURPHARMA Earnings Model T-1'!R189</f>
        <v>8545.6143269999993</v>
      </c>
      <c r="D34" s="405">
        <f>'SQURPHARMA Earnings Model T-1'!W189</f>
        <v>18528.854295000001</v>
      </c>
    </row>
    <row r="35" spans="2:4">
      <c r="B35" s="386" t="s">
        <v>467</v>
      </c>
      <c r="C35" s="413">
        <f>'SQURPHARMA Earnings Model T-1'!R108</f>
        <v>4229.145716</v>
      </c>
      <c r="D35" s="210">
        <f>'SQURPHARMA Earnings Model T-1'!W108</f>
        <v>5281.9548789999999</v>
      </c>
    </row>
    <row r="36" spans="2:4">
      <c r="B36" s="386" t="s">
        <v>468</v>
      </c>
      <c r="C36" s="414">
        <f>'SQURPHARMA Earnings Model T-1'!R110</f>
        <v>1368.3569050000001</v>
      </c>
      <c r="D36" s="405">
        <f>'SQURPHARMA Earnings Model T-1'!W110</f>
        <v>814.53982599999995</v>
      </c>
    </row>
    <row r="37" spans="2:4">
      <c r="B37" s="415" t="s">
        <v>469</v>
      </c>
      <c r="C37" s="416">
        <f t="shared" ref="C37:D37" si="0">C30/(C30+C29)</f>
        <v>8.1424164942390714E-2</v>
      </c>
      <c r="D37" s="410">
        <f t="shared" si="0"/>
        <v>7.7111964483558545E-2</v>
      </c>
    </row>
  </sheetData>
  <mergeCells count="1">
    <mergeCell ref="B19:I19"/>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X1000"/>
  <sheetViews>
    <sheetView workbookViewId="0">
      <selection activeCell="AK18" sqref="AK18"/>
    </sheetView>
  </sheetViews>
  <sheetFormatPr defaultColWidth="14.44140625" defaultRowHeight="15" customHeight="1"/>
  <cols>
    <col min="1" max="1" width="2.109375" customWidth="1"/>
    <col min="2" max="2" width="10.6640625" customWidth="1"/>
    <col min="3" max="12" width="8.6640625" customWidth="1"/>
    <col min="13" max="13" width="11.33203125" customWidth="1"/>
    <col min="14" max="14" width="11.88671875" customWidth="1"/>
    <col min="15" max="16" width="8.6640625" customWidth="1"/>
    <col min="17" max="17" width="9.44140625" customWidth="1"/>
    <col min="18" max="56" width="8.6640625" customWidth="1"/>
    <col min="57" max="57" width="21.109375" customWidth="1"/>
    <col min="58" max="58" width="12.6640625" customWidth="1"/>
    <col min="59" max="59" width="12.88671875" customWidth="1"/>
    <col min="60" max="60" width="13.109375" customWidth="1"/>
    <col min="61" max="76" width="8.6640625" customWidth="1"/>
  </cols>
  <sheetData>
    <row r="1" spans="2:60" ht="14.25" customHeight="1">
      <c r="Q1" s="839" t="s">
        <v>470</v>
      </c>
      <c r="R1" s="764"/>
      <c r="S1" s="764"/>
      <c r="T1" s="764"/>
      <c r="U1" s="764"/>
      <c r="V1" s="764"/>
      <c r="W1" s="764"/>
      <c r="X1" s="764"/>
      <c r="Y1" s="756"/>
    </row>
    <row r="2" spans="2:60" ht="14.25" customHeight="1">
      <c r="Q2" s="627"/>
      <c r="R2" s="628">
        <v>2021</v>
      </c>
      <c r="S2" s="628">
        <v>2022</v>
      </c>
      <c r="T2" s="628">
        <v>2023</v>
      </c>
      <c r="U2" s="628">
        <v>2024</v>
      </c>
      <c r="V2" s="628">
        <v>2025</v>
      </c>
      <c r="W2" s="628" t="s">
        <v>71</v>
      </c>
      <c r="X2" s="628" t="s">
        <v>76</v>
      </c>
      <c r="Y2" s="629" t="s">
        <v>81</v>
      </c>
      <c r="BE2" s="840" t="s">
        <v>471</v>
      </c>
      <c r="BF2" s="732"/>
      <c r="BG2" s="732"/>
      <c r="BH2" s="732"/>
    </row>
    <row r="3" spans="2:60" ht="14.25" customHeight="1">
      <c r="B3" s="841" t="s">
        <v>472</v>
      </c>
      <c r="C3" s="818"/>
      <c r="D3" s="818"/>
      <c r="E3" s="818"/>
      <c r="F3" s="819"/>
      <c r="Q3" s="418" t="s">
        <v>473</v>
      </c>
      <c r="R3" s="419">
        <v>6.9386791239999995E-2</v>
      </c>
      <c r="S3" s="419">
        <v>7.0998287760000001E-2</v>
      </c>
      <c r="T3" s="419">
        <v>5.7751123699999997E-2</v>
      </c>
      <c r="U3" s="419">
        <v>4.2232591129999997E-2</v>
      </c>
      <c r="V3" s="332">
        <v>4.9000000000000002E-2</v>
      </c>
      <c r="W3" s="420">
        <v>4.9000000000000002E-2</v>
      </c>
      <c r="X3" s="332">
        <v>6.3E-2</v>
      </c>
      <c r="Y3" s="421">
        <v>7.0000000000000007E-2</v>
      </c>
    </row>
    <row r="4" spans="2:60" ht="14.25" customHeight="1">
      <c r="B4" s="604"/>
      <c r="C4" s="605" t="s">
        <v>474</v>
      </c>
      <c r="D4" s="605" t="s">
        <v>475</v>
      </c>
      <c r="E4" s="605" t="s">
        <v>476</v>
      </c>
      <c r="F4" s="606" t="s">
        <v>477</v>
      </c>
      <c r="Q4" s="417" t="s">
        <v>478</v>
      </c>
      <c r="V4" s="332">
        <f>AVERAGE(R3:V3)</f>
        <v>5.7873758765999997E-2</v>
      </c>
      <c r="Y4" s="408">
        <f>AVERAGE(W3:Y3)</f>
        <v>6.0666666666666667E-2</v>
      </c>
      <c r="AB4" s="630" t="s">
        <v>479</v>
      </c>
      <c r="AC4" s="631"/>
      <c r="AD4" s="631"/>
      <c r="AE4" s="631"/>
      <c r="AF4" s="631"/>
      <c r="AG4" s="631"/>
      <c r="AH4" s="631"/>
      <c r="AI4" s="631"/>
      <c r="AJ4" s="631"/>
      <c r="AK4" s="631"/>
      <c r="AL4" s="631"/>
      <c r="AM4" s="631"/>
      <c r="AN4" s="631"/>
      <c r="AO4" s="631"/>
      <c r="AP4" s="631"/>
      <c r="AQ4" s="631"/>
      <c r="AR4" s="631"/>
      <c r="AS4" s="631"/>
      <c r="AT4" s="631"/>
      <c r="AU4" s="631"/>
      <c r="AV4" s="631"/>
      <c r="AW4" s="632"/>
      <c r="AX4" s="636"/>
      <c r="BE4" s="204" t="s">
        <v>480</v>
      </c>
      <c r="BF4" s="202" t="s">
        <v>474</v>
      </c>
      <c r="BG4" s="202" t="s">
        <v>475</v>
      </c>
      <c r="BH4" s="202" t="s">
        <v>476</v>
      </c>
    </row>
    <row r="5" spans="2:60" ht="14.25" customHeight="1">
      <c r="B5" s="422">
        <v>2020</v>
      </c>
      <c r="C5" s="181">
        <f>'SQURPHARMA Earnings Model T-1'!D50</f>
        <v>0</v>
      </c>
      <c r="D5" s="181">
        <f>'SQURPHARMA Earnings Model T-1'!E50</f>
        <v>-1.6660964504575548E-2</v>
      </c>
      <c r="E5" s="181">
        <f>'SQURPHARMA Earnings Model T-1'!F50</f>
        <v>3.267598824159812E-2</v>
      </c>
      <c r="F5" s="423">
        <f>'SQURPHARMA Earnings Model T-1'!G50</f>
        <v>1.7315659467694866E-2</v>
      </c>
      <c r="L5" s="424" t="s">
        <v>481</v>
      </c>
      <c r="M5" s="424" t="s">
        <v>482</v>
      </c>
      <c r="Q5" s="417" t="s">
        <v>483</v>
      </c>
      <c r="V5" s="332">
        <v>8.9700000000000002E-2</v>
      </c>
      <c r="Y5" s="421">
        <v>0.15</v>
      </c>
      <c r="AB5" s="633"/>
      <c r="AC5" s="471" t="s">
        <v>24</v>
      </c>
      <c r="AD5" s="471" t="s">
        <v>25</v>
      </c>
      <c r="AE5" s="471" t="s">
        <v>26</v>
      </c>
      <c r="AF5" s="471" t="s">
        <v>27</v>
      </c>
      <c r="AG5" s="475" t="s">
        <v>28</v>
      </c>
      <c r="AH5" s="475" t="s">
        <v>28</v>
      </c>
      <c r="AI5" s="476" t="s">
        <v>29</v>
      </c>
      <c r="AJ5" s="476" t="s">
        <v>30</v>
      </c>
      <c r="AK5" s="476" t="s">
        <v>31</v>
      </c>
      <c r="AL5" s="476" t="s">
        <v>32</v>
      </c>
      <c r="AM5" s="476" t="s">
        <v>32</v>
      </c>
      <c r="AN5" s="476" t="s">
        <v>33</v>
      </c>
      <c r="AO5" s="476" t="s">
        <v>34</v>
      </c>
      <c r="AP5" s="476" t="s">
        <v>35</v>
      </c>
      <c r="AQ5" s="476" t="s">
        <v>36</v>
      </c>
      <c r="AR5" s="476" t="s">
        <v>36</v>
      </c>
      <c r="AS5" s="476" t="s">
        <v>37</v>
      </c>
      <c r="AT5" s="476" t="s">
        <v>38</v>
      </c>
      <c r="AU5" s="476" t="s">
        <v>39</v>
      </c>
      <c r="AV5" s="476" t="s">
        <v>40</v>
      </c>
      <c r="AW5" s="476" t="s">
        <v>40</v>
      </c>
      <c r="BE5" s="204" t="s">
        <v>177</v>
      </c>
      <c r="BF5" s="197">
        <f>'SQURPHARMA Earnings Model T-1'!X122</f>
        <v>124.72198</v>
      </c>
      <c r="BG5" s="197">
        <f>'SQURPHARMA Earnings Model T-1'!Y122</f>
        <v>124.606724</v>
      </c>
      <c r="BH5" s="197">
        <f>'SQURPHARMA Earnings Model T-1'!Z122</f>
        <v>131.49156099999999</v>
      </c>
    </row>
    <row r="6" spans="2:60" ht="14.25" customHeight="1">
      <c r="B6" s="422">
        <v>2021</v>
      </c>
      <c r="C6" s="181">
        <f>'SQURPHARMA Earnings Model T-1'!I50</f>
        <v>0.14514417798371859</v>
      </c>
      <c r="D6" s="181">
        <f>'SQURPHARMA Earnings Model T-1'!J50</f>
        <v>-4.5808348163900892E-2</v>
      </c>
      <c r="E6" s="181">
        <f>'SQURPHARMA Earnings Model T-1'!K50</f>
        <v>3.2026261077540807E-2</v>
      </c>
      <c r="F6" s="423">
        <f>'SQURPHARMA Earnings Model T-1'!L50</f>
        <v>-5.2853203964624229E-2</v>
      </c>
      <c r="Q6" s="417" t="s">
        <v>484</v>
      </c>
      <c r="V6" s="332">
        <v>0.10390000000000001</v>
      </c>
      <c r="Y6" s="408">
        <f>Y7+(V6-V5)</f>
        <v>0.13669290790066668</v>
      </c>
      <c r="AB6" s="634"/>
      <c r="AC6" s="474" t="s">
        <v>60</v>
      </c>
      <c r="AD6" s="474" t="s">
        <v>62</v>
      </c>
      <c r="AE6" s="474" t="s">
        <v>63</v>
      </c>
      <c r="AF6" s="474" t="s">
        <v>64</v>
      </c>
      <c r="AG6" s="477" t="s">
        <v>65</v>
      </c>
      <c r="AH6" s="478" t="s">
        <v>66</v>
      </c>
      <c r="AI6" s="477" t="s">
        <v>67</v>
      </c>
      <c r="AJ6" s="479" t="s">
        <v>68</v>
      </c>
      <c r="AK6" s="480" t="s">
        <v>69</v>
      </c>
      <c r="AL6" s="479" t="s">
        <v>70</v>
      </c>
      <c r="AM6" s="480" t="s">
        <v>71</v>
      </c>
      <c r="AN6" s="479" t="s">
        <v>72</v>
      </c>
      <c r="AO6" s="480" t="s">
        <v>73</v>
      </c>
      <c r="AP6" s="480" t="s">
        <v>74</v>
      </c>
      <c r="AQ6" s="479" t="s">
        <v>75</v>
      </c>
      <c r="AR6" s="480" t="s">
        <v>76</v>
      </c>
      <c r="AS6" s="479" t="s">
        <v>77</v>
      </c>
      <c r="AT6" s="480" t="s">
        <v>78</v>
      </c>
      <c r="AU6" s="481" t="s">
        <v>79</v>
      </c>
      <c r="AV6" s="480" t="s">
        <v>80</v>
      </c>
      <c r="AW6" s="480" t="s">
        <v>81</v>
      </c>
      <c r="BE6" s="204" t="s">
        <v>485</v>
      </c>
      <c r="BF6" s="425"/>
      <c r="BG6" s="425">
        <f t="shared" ref="BG6:BH6" si="0">BG5/BF5-1</f>
        <v>-9.2410335371517771E-4</v>
      </c>
      <c r="BH6" s="425">
        <f t="shared" si="0"/>
        <v>5.5252531958066564E-2</v>
      </c>
    </row>
    <row r="7" spans="2:60" ht="14.25" customHeight="1">
      <c r="B7" s="422">
        <v>2022</v>
      </c>
      <c r="C7" s="181">
        <f>'SQURPHARMA Earnings Model T-1'!N50</f>
        <v>0.15811281354288553</v>
      </c>
      <c r="D7" s="181">
        <f>'SQURPHARMA Earnings Model T-1'!O50</f>
        <v>7.3088565478474088E-3</v>
      </c>
      <c r="E7" s="181">
        <f>'SQURPHARMA Earnings Model T-1'!P50</f>
        <v>-1.8515776796975025E-2</v>
      </c>
      <c r="F7" s="423">
        <f>'SQURPHARMA Earnings Model T-1'!Q50</f>
        <v>-8.0803183206009987E-2</v>
      </c>
      <c r="L7" s="424" t="s">
        <v>486</v>
      </c>
      <c r="Q7" s="415" t="s">
        <v>487</v>
      </c>
      <c r="R7" s="379"/>
      <c r="S7" s="379"/>
      <c r="T7" s="379"/>
      <c r="U7" s="379"/>
      <c r="V7" s="379"/>
      <c r="W7" s="379"/>
      <c r="X7" s="379"/>
      <c r="Y7" s="410">
        <f>Y4+(V5-V4)+3%</f>
        <v>0.12249290790066666</v>
      </c>
      <c r="AB7" s="627"/>
      <c r="AC7" s="202">
        <f>1.609102-0.866054</f>
        <v>0.74304800000000004</v>
      </c>
      <c r="AD7" s="202">
        <v>0.73270100000000005</v>
      </c>
      <c r="AE7" s="202">
        <f>1.557567-AD7</f>
        <v>0.82486599999999988</v>
      </c>
      <c r="AF7" s="426">
        <f>2.470216-SUM(AD7:AE7)</f>
        <v>0.91264900000000027</v>
      </c>
      <c r="AG7" s="204">
        <f>AF7*(1+AC9)</f>
        <v>0.9790545138578679</v>
      </c>
      <c r="AI7" s="204">
        <f>AG7*(1+$AC$9)</f>
        <v>1.0502917782252166</v>
      </c>
      <c r="AJ7" s="204">
        <f t="shared" ref="AJ7:AL7" si="1">AI7*(1+$AC$9)</f>
        <v>1.1267123574771951</v>
      </c>
      <c r="AK7" s="204">
        <f t="shared" si="1"/>
        <v>1.2086933962645958</v>
      </c>
      <c r="AL7" s="204">
        <f t="shared" si="1"/>
        <v>1.2966394807675774</v>
      </c>
      <c r="AN7" s="204">
        <f>AL7*(1+$AC$9)</f>
        <v>1.3909846353765998</v>
      </c>
      <c r="AO7" s="204">
        <f t="shared" ref="AO7:AQ7" si="2">AN7*(1+$AC$9)</f>
        <v>1.4921944646544292</v>
      </c>
      <c r="AP7" s="204">
        <f t="shared" si="2"/>
        <v>1.6007684511500513</v>
      </c>
      <c r="AQ7" s="204">
        <f t="shared" si="2"/>
        <v>1.7172424204044765</v>
      </c>
      <c r="AS7" s="204">
        <f>AQ7*(1+$AC$9)</f>
        <v>1.8421911853135353</v>
      </c>
      <c r="AT7" s="204">
        <f t="shared" ref="AT7:AV7" si="3">AS7*(1+$AC$9)</f>
        <v>1.9762313828979072</v>
      </c>
      <c r="AU7" s="204">
        <f t="shared" si="3"/>
        <v>2.1200245174801835</v>
      </c>
      <c r="AV7" s="204">
        <f t="shared" si="3"/>
        <v>2.2742802252874013</v>
      </c>
      <c r="AW7" s="85"/>
      <c r="BE7" s="204" t="s">
        <v>488</v>
      </c>
      <c r="BF7" s="425">
        <f>AVERAGE(BF6:BH6)</f>
        <v>2.7164214302175693E-2</v>
      </c>
    </row>
    <row r="8" spans="2:60" ht="14.25" customHeight="1">
      <c r="B8" s="422">
        <v>2023</v>
      </c>
      <c r="C8" s="181">
        <f t="array" ref="C8:F8">'SQURPHARMA Earnings Model T-1'!S50:V50</f>
        <v>0.26401590061243474</v>
      </c>
      <c r="D8" s="181">
        <v>3.2369502858087262E-3</v>
      </c>
      <c r="E8" s="181">
        <v>-6.9653059177912202E-2</v>
      </c>
      <c r="F8" s="423">
        <v>-7.7497999799072126E-2</v>
      </c>
      <c r="L8" s="424" t="s">
        <v>489</v>
      </c>
      <c r="AB8" s="627" t="s">
        <v>485</v>
      </c>
      <c r="AD8" s="204">
        <f t="shared" ref="AD8:AF8" si="4">AD7/AC7-1</f>
        <v>-1.3925076172737194E-2</v>
      </c>
      <c r="AE8" s="204">
        <f t="shared" si="4"/>
        <v>0.12578800902414478</v>
      </c>
      <c r="AF8" s="204">
        <f t="shared" si="4"/>
        <v>0.10642092170122219</v>
      </c>
      <c r="AW8" s="85"/>
    </row>
    <row r="9" spans="2:60" ht="14.25" customHeight="1">
      <c r="B9" s="422">
        <v>2024</v>
      </c>
      <c r="C9" s="181">
        <f>'SQURPHARMA Earnings Model T-1'!X50</f>
        <v>0.11658958485824589</v>
      </c>
      <c r="D9" s="181">
        <f>'SQURPHARMA Earnings Model T-1'!Y50</f>
        <v>0.12531794850529887</v>
      </c>
      <c r="E9" s="181">
        <f>'SQURPHARMA Earnings Model T-1'!Z50</f>
        <v>7.9026696983330869E-3</v>
      </c>
      <c r="F9" s="423"/>
      <c r="L9" s="424" t="s">
        <v>490</v>
      </c>
      <c r="AB9" s="635" t="s">
        <v>491</v>
      </c>
      <c r="AC9" s="379">
        <f>AVERAGE(AD8:AF8)</f>
        <v>7.2761284850876587E-2</v>
      </c>
      <c r="AD9" s="379"/>
      <c r="AE9" s="379"/>
      <c r="AF9" s="379"/>
      <c r="AG9" s="379"/>
      <c r="AH9" s="379"/>
      <c r="AI9" s="379"/>
      <c r="AJ9" s="379"/>
      <c r="AK9" s="379"/>
      <c r="AL9" s="379"/>
      <c r="AM9" s="379"/>
      <c r="AN9" s="379"/>
      <c r="AO9" s="379"/>
      <c r="AP9" s="379"/>
      <c r="AQ9" s="379"/>
      <c r="AR9" s="379"/>
      <c r="AS9" s="379"/>
      <c r="AT9" s="379"/>
      <c r="AU9" s="379"/>
      <c r="AV9" s="379"/>
      <c r="AW9" s="407"/>
    </row>
    <row r="10" spans="2:60" ht="14.25" customHeight="1">
      <c r="B10" s="427" t="s">
        <v>492</v>
      </c>
      <c r="C10" s="428">
        <f>AVERAGE(C6:C9)</f>
        <v>0.17096561924932119</v>
      </c>
      <c r="D10" s="428">
        <f t="shared" ref="D10:E10" si="5">AVERAGE(D5:D9)</f>
        <v>1.4678888534095713E-2</v>
      </c>
      <c r="E10" s="428">
        <f t="shared" si="5"/>
        <v>-3.1127833914830426E-3</v>
      </c>
      <c r="F10" s="429">
        <f>AVERAGE(F6:F8)</f>
        <v>-7.0384795656568785E-2</v>
      </c>
    </row>
    <row r="11" spans="2:60" ht="14.25" customHeight="1"/>
    <row r="12" spans="2:60" ht="14.25" customHeight="1">
      <c r="B12" s="842" t="s">
        <v>493</v>
      </c>
      <c r="C12" s="818"/>
      <c r="D12" s="818"/>
      <c r="E12" s="818"/>
      <c r="F12" s="819"/>
      <c r="L12" s="424" t="s">
        <v>494</v>
      </c>
      <c r="P12" s="424" t="s">
        <v>495</v>
      </c>
      <c r="Q12" s="424" t="s">
        <v>496</v>
      </c>
    </row>
    <row r="13" spans="2:60" ht="14.25" customHeight="1">
      <c r="B13" s="604"/>
      <c r="C13" s="605" t="s">
        <v>474</v>
      </c>
      <c r="D13" s="605" t="s">
        <v>475</v>
      </c>
      <c r="E13" s="605" t="s">
        <v>476</v>
      </c>
      <c r="F13" s="606" t="s">
        <v>477</v>
      </c>
      <c r="L13" s="424" t="s">
        <v>497</v>
      </c>
    </row>
    <row r="14" spans="2:60" ht="14.25" customHeight="1">
      <c r="B14" s="422">
        <v>2020</v>
      </c>
      <c r="C14" s="181">
        <f>'SQURPHARMA Earnings Model T-1'!D17/'SQURPHARMA Earnings Model T-1'!$H$17</f>
        <v>0.24802425125935529</v>
      </c>
      <c r="D14" s="181">
        <f>'SQURPHARMA Earnings Model T-1'!E17/'SQURPHARMA Earnings Model T-1'!$H$17</f>
        <v>0.24389192801284926</v>
      </c>
      <c r="E14" s="181">
        <f>'SQURPHARMA Earnings Model T-1'!F17/'SQURPHARMA Earnings Model T-1'!$H$17</f>
        <v>0.25186133778481778</v>
      </c>
      <c r="F14" s="423">
        <f>'SQURPHARMA Earnings Model T-1'!G17/'SQURPHARMA Earnings Model T-1'!$H$17</f>
        <v>0.25622248294297773</v>
      </c>
      <c r="L14" s="424" t="s">
        <v>498</v>
      </c>
    </row>
    <row r="15" spans="2:60" ht="14.25" customHeight="1">
      <c r="B15" s="422">
        <v>2021</v>
      </c>
      <c r="C15" s="181">
        <f>'SQURPHARMA Earnings Model T-1'!I17/'SQURPHARMA Earnings Model T-1'!$M$17</f>
        <v>0.25828807026755668</v>
      </c>
      <c r="D15" s="181">
        <f>'SQURPHARMA Earnings Model T-1'!J17/'SQURPHARMA Earnings Model T-1'!$M$17</f>
        <v>0.24645632041815835</v>
      </c>
      <c r="E15" s="181">
        <f>'SQURPHARMA Earnings Model T-1'!K17/'SQURPHARMA Earnings Model T-1'!$M$17</f>
        <v>0.25434939488008035</v>
      </c>
      <c r="F15" s="423">
        <f>'SQURPHARMA Earnings Model T-1'!L17/'SQURPHARMA Earnings Model T-1'!$M$17</f>
        <v>0.24090621443420471</v>
      </c>
    </row>
    <row r="16" spans="2:60" ht="14.25" customHeight="1">
      <c r="B16" s="422">
        <v>2022</v>
      </c>
      <c r="C16" s="181">
        <f>'SQURPHARMA Earnings Model T-1'!N17/'SQURPHARMA Earnings Model T-1'!$R$17</f>
        <v>0.25609915081373574</v>
      </c>
      <c r="D16" s="181">
        <f>'SQURPHARMA Earnings Model T-1'!O17/'SQURPHARMA Earnings Model T-1'!$R$17</f>
        <v>0.25797094276905891</v>
      </c>
      <c r="E16" s="181">
        <f>'SQURPHARMA Earnings Model T-1'!P17/'SQURPHARMA Earnings Model T-1'!$R$17</f>
        <v>0.25319441037264179</v>
      </c>
      <c r="F16" s="423">
        <f>'SQURPHARMA Earnings Model T-1'!Q17/'SQURPHARMA Earnings Model T-1'!$R$17</f>
        <v>0.23273549604456353</v>
      </c>
      <c r="L16" s="424" t="s">
        <v>499</v>
      </c>
      <c r="M16" s="424" t="s">
        <v>500</v>
      </c>
    </row>
    <row r="17" spans="2:76" ht="14.25" customHeight="1">
      <c r="B17" s="422">
        <v>2023</v>
      </c>
      <c r="C17" s="181">
        <f>'SQURPHARMA Earnings Model T-1'!S17/'SQURPHARMA Earnings Model T-1'!$W$17</f>
        <v>0.26332279063611397</v>
      </c>
      <c r="D17" s="181">
        <f>'SQURPHARMA Earnings Model T-1'!T17/'SQURPHARMA Earnings Model T-1'!$W$17</f>
        <v>0.26417515341852349</v>
      </c>
      <c r="E17" s="181">
        <f>'SQURPHARMA Earnings Model T-1'!U17/'SQURPHARMA Earnings Model T-1'!$W$17</f>
        <v>0.245774545824129</v>
      </c>
      <c r="F17" s="423">
        <f>'SQURPHARMA Earnings Model T-1'!V17/'SQURPHARMA Earnings Model T-1'!$W$17</f>
        <v>0.22672751012123363</v>
      </c>
      <c r="N17" s="424" t="s">
        <v>501</v>
      </c>
    </row>
    <row r="18" spans="2:76" ht="14.25" customHeight="1">
      <c r="B18" s="422">
        <v>2024</v>
      </c>
      <c r="C18" s="181">
        <f>'SQURPHARMA Earnings Model T-1'!X17/'SQURPHARMA Earnings Model T-1'!$AB$17</f>
        <v>0.23180833817918525</v>
      </c>
      <c r="D18" s="181">
        <f>'SQURPHARMA Earnings Model T-1'!Y17/'SQURPHARMA Earnings Model T-1'!$AB$17</f>
        <v>0.26085808356622331</v>
      </c>
      <c r="E18" s="181">
        <f>'SQURPHARMA Earnings Model T-1'!Z17/'SQURPHARMA Earnings Model T-1'!$AB$17</f>
        <v>0.26291955883878737</v>
      </c>
      <c r="F18" s="423"/>
      <c r="M18" s="424" t="s">
        <v>474</v>
      </c>
      <c r="N18" s="424" t="s">
        <v>475</v>
      </c>
      <c r="O18" s="424" t="s">
        <v>476</v>
      </c>
      <c r="P18" s="424" t="s">
        <v>477</v>
      </c>
      <c r="Q18" s="424" t="s">
        <v>394</v>
      </c>
    </row>
    <row r="19" spans="2:76" ht="14.25" customHeight="1">
      <c r="B19" s="427" t="s">
        <v>492</v>
      </c>
      <c r="C19" s="428">
        <f>AVERAGE(C15:C18)</f>
        <v>0.2523795874741479</v>
      </c>
      <c r="D19" s="428">
        <f t="shared" ref="D19:E19" si="6">AVERAGE(D14:D18)</f>
        <v>0.25467048563696265</v>
      </c>
      <c r="E19" s="428">
        <f t="shared" si="6"/>
        <v>0.25361984954009126</v>
      </c>
      <c r="F19" s="429">
        <f>AVERAGE(F14:F17)</f>
        <v>0.23914792588574491</v>
      </c>
      <c r="L19" s="424">
        <v>2025</v>
      </c>
    </row>
    <row r="20" spans="2:76" ht="14.25" customHeight="1">
      <c r="L20" s="424">
        <v>2026</v>
      </c>
    </row>
    <row r="21" spans="2:76" ht="14.25" customHeight="1">
      <c r="B21" s="843" t="s">
        <v>502</v>
      </c>
      <c r="C21" s="732"/>
      <c r="D21" s="732"/>
      <c r="E21" s="732"/>
      <c r="F21" s="732"/>
      <c r="L21" s="844" t="s">
        <v>503</v>
      </c>
      <c r="M21" s="732"/>
      <c r="N21" s="732"/>
      <c r="O21" s="732"/>
      <c r="P21" s="732"/>
    </row>
    <row r="22" spans="2:76" ht="14.25" customHeight="1">
      <c r="B22" s="607"/>
      <c r="C22" s="608" t="s">
        <v>474</v>
      </c>
      <c r="D22" s="608" t="s">
        <v>475</v>
      </c>
      <c r="E22" s="608" t="s">
        <v>476</v>
      </c>
      <c r="F22" s="609" t="s">
        <v>477</v>
      </c>
      <c r="M22" s="424" t="s">
        <v>474</v>
      </c>
      <c r="N22" s="424" t="s">
        <v>475</v>
      </c>
      <c r="O22" s="424" t="s">
        <v>476</v>
      </c>
      <c r="P22" s="424" t="s">
        <v>477</v>
      </c>
      <c r="Q22" s="424" t="s">
        <v>394</v>
      </c>
      <c r="AQ22" s="424">
        <v>2025</v>
      </c>
      <c r="AV22" s="424">
        <v>2026</v>
      </c>
      <c r="BA22" s="424">
        <v>2027</v>
      </c>
    </row>
    <row r="23" spans="2:76" ht="14.25" customHeight="1">
      <c r="B23" s="422">
        <v>2020</v>
      </c>
      <c r="C23" s="432">
        <v>0.51</v>
      </c>
      <c r="D23" s="432">
        <v>0.53</v>
      </c>
      <c r="E23" s="432">
        <v>0.51</v>
      </c>
      <c r="F23" s="433">
        <v>0.49</v>
      </c>
      <c r="L23" s="424">
        <v>2025</v>
      </c>
      <c r="N23" s="434"/>
      <c r="AP23" s="424" t="s">
        <v>504</v>
      </c>
      <c r="AQ23" s="424" t="s">
        <v>504</v>
      </c>
      <c r="AR23" s="424" t="s">
        <v>504</v>
      </c>
      <c r="AS23" s="424" t="s">
        <v>504</v>
      </c>
      <c r="AT23" s="424" t="s">
        <v>504</v>
      </c>
      <c r="AU23" s="424" t="s">
        <v>504</v>
      </c>
      <c r="AV23" s="424" t="s">
        <v>504</v>
      </c>
      <c r="AW23" s="424" t="s">
        <v>504</v>
      </c>
      <c r="AX23" s="424" t="s">
        <v>504</v>
      </c>
      <c r="AY23" s="424" t="s">
        <v>504</v>
      </c>
      <c r="AZ23" s="424" t="s">
        <v>504</v>
      </c>
      <c r="BA23" s="424" t="s">
        <v>504</v>
      </c>
      <c r="BB23" s="424" t="s">
        <v>504</v>
      </c>
      <c r="BC23" s="424" t="s">
        <v>504</v>
      </c>
      <c r="BD23" s="424" t="s">
        <v>504</v>
      </c>
    </row>
    <row r="24" spans="2:76" ht="14.25" customHeight="1">
      <c r="B24" s="422">
        <v>2021</v>
      </c>
      <c r="C24" s="432">
        <v>0.51</v>
      </c>
      <c r="D24" s="432">
        <v>0.53</v>
      </c>
      <c r="E24" s="432">
        <v>0.51</v>
      </c>
      <c r="F24" s="433">
        <v>0.5</v>
      </c>
      <c r="L24" s="424">
        <v>2026</v>
      </c>
      <c r="N24" s="435"/>
      <c r="AQ24" s="436"/>
      <c r="AV24" s="437"/>
      <c r="BA24" s="424"/>
    </row>
    <row r="25" spans="2:76" ht="14.25" customHeight="1">
      <c r="B25" s="422">
        <v>2022</v>
      </c>
      <c r="C25" s="432">
        <v>0.52</v>
      </c>
      <c r="D25" s="432">
        <v>0.53</v>
      </c>
      <c r="E25" s="432">
        <v>0.48</v>
      </c>
      <c r="F25" s="433">
        <v>0.44</v>
      </c>
      <c r="N25" s="137"/>
      <c r="O25" s="137"/>
      <c r="AQ25" s="436"/>
      <c r="AV25" s="437"/>
      <c r="BA25" s="424"/>
    </row>
    <row r="26" spans="2:76" ht="14.25" customHeight="1">
      <c r="B26" s="422">
        <v>2023</v>
      </c>
      <c r="C26" s="432">
        <v>0.53</v>
      </c>
      <c r="D26" s="432">
        <v>0.49</v>
      </c>
      <c r="E26" s="432">
        <v>0.51</v>
      </c>
      <c r="F26" s="433">
        <v>0.34</v>
      </c>
      <c r="N26" s="137"/>
      <c r="O26" s="137"/>
      <c r="W26" s="438"/>
      <c r="AB26" s="439"/>
      <c r="AG26" s="436"/>
      <c r="AL26" s="424"/>
      <c r="AQ26" s="436"/>
      <c r="AV26" s="437"/>
      <c r="BA26" s="424"/>
    </row>
    <row r="27" spans="2:76" ht="14.25" customHeight="1">
      <c r="B27" s="422">
        <v>2024</v>
      </c>
      <c r="C27" s="432">
        <v>0.5</v>
      </c>
      <c r="D27" s="432">
        <v>0.45</v>
      </c>
      <c r="E27" s="432">
        <v>0.48</v>
      </c>
      <c r="F27" s="431"/>
      <c r="P27" s="440"/>
      <c r="Q27" s="440" t="s">
        <v>192</v>
      </c>
      <c r="S27" s="440">
        <v>12.5</v>
      </c>
      <c r="T27" s="440">
        <v>12.272057235920746</v>
      </c>
      <c r="U27" s="440">
        <v>12.719515586937845</v>
      </c>
      <c r="V27" s="440">
        <v>16.757371707078175</v>
      </c>
      <c r="W27" s="440">
        <f>SUM(S27:V27)</f>
        <v>54.248944529936765</v>
      </c>
      <c r="X27" s="440">
        <v>13.638550659657383</v>
      </c>
      <c r="Y27" s="440">
        <v>13.876213991199402</v>
      </c>
      <c r="Z27" s="440">
        <v>17.161917300348438</v>
      </c>
      <c r="AA27" s="440">
        <v>20.099410507576991</v>
      </c>
      <c r="AB27" s="440">
        <f>SUM(X27:AA27)</f>
        <v>64.776092458782216</v>
      </c>
      <c r="AC27" s="440">
        <v>20.269542124431634</v>
      </c>
      <c r="AD27" s="440">
        <v>21.781679850902044</v>
      </c>
      <c r="AE27" s="440">
        <v>22.049394733505284</v>
      </c>
      <c r="AF27" s="440">
        <v>30.552273354643781</v>
      </c>
      <c r="AG27" s="440">
        <f>SUM(AC27:AF27)</f>
        <v>94.652890063482744</v>
      </c>
      <c r="AH27" s="440">
        <v>26.927457724177483</v>
      </c>
      <c r="AI27" s="440">
        <v>23.964709784824723</v>
      </c>
      <c r="AJ27" s="440">
        <v>24.656223560322616</v>
      </c>
      <c r="AK27" s="440">
        <v>25.494824134692355</v>
      </c>
      <c r="AL27" s="440">
        <f>SUM(AH27:AK27)</f>
        <v>101.04321520401717</v>
      </c>
      <c r="AM27" s="440">
        <v>24.799501480641741</v>
      </c>
      <c r="AN27" s="440">
        <v>22.361931316798703</v>
      </c>
      <c r="AO27" s="440">
        <v>28.040081800429082</v>
      </c>
      <c r="AP27" s="440">
        <f>AO27*(AK27/AJ27)</f>
        <v>28.99377321410746</v>
      </c>
      <c r="AQ27" s="440">
        <f>SUM(AM27:AP27)</f>
        <v>104.19528781197698</v>
      </c>
      <c r="AR27" s="440">
        <f>AP27*(AM27/AK27)</f>
        <v>28.203023404041431</v>
      </c>
      <c r="AS27" s="440">
        <f t="shared" ref="AS27:AU27" si="7">AR27*(AN27/AM27)</f>
        <v>25.430917342412673</v>
      </c>
      <c r="AT27" s="440">
        <f t="shared" si="7"/>
        <v>31.888345976875396</v>
      </c>
      <c r="AU27" s="440">
        <f t="shared" si="7"/>
        <v>32.972923474580348</v>
      </c>
      <c r="AV27" s="440">
        <f>SUM(AR27:AU27)</f>
        <v>118.49521019790984</v>
      </c>
      <c r="AW27" s="440"/>
      <c r="AX27" s="440"/>
      <c r="AY27" s="440"/>
      <c r="AZ27" s="440"/>
      <c r="BA27" s="440"/>
      <c r="BB27" s="440"/>
      <c r="BC27" s="440"/>
      <c r="BD27" s="440"/>
      <c r="BE27" s="440"/>
      <c r="BF27" s="440"/>
      <c r="BG27" s="440"/>
      <c r="BH27" s="440"/>
      <c r="BI27" s="440"/>
      <c r="BJ27" s="440"/>
      <c r="BK27" s="440"/>
      <c r="BL27" s="440"/>
      <c r="BM27" s="440"/>
      <c r="BN27" s="440"/>
      <c r="BO27" s="440"/>
      <c r="BP27" s="440"/>
      <c r="BQ27" s="440"/>
      <c r="BR27" s="440"/>
      <c r="BS27" s="440"/>
      <c r="BT27" s="440"/>
      <c r="BU27" s="440"/>
      <c r="BV27" s="440"/>
      <c r="BW27" s="440"/>
      <c r="BX27" s="440"/>
    </row>
    <row r="28" spans="2:76" ht="14.25" customHeight="1">
      <c r="B28" s="427" t="s">
        <v>492</v>
      </c>
      <c r="C28" s="441">
        <f t="shared" ref="C28:E28" si="8">AVERAGE(C23:C27)</f>
        <v>0.51400000000000001</v>
      </c>
      <c r="D28" s="441">
        <f t="shared" si="8"/>
        <v>0.50600000000000001</v>
      </c>
      <c r="E28" s="441">
        <f t="shared" si="8"/>
        <v>0.49799999999999994</v>
      </c>
      <c r="F28" s="442">
        <f>AVERAGE(F23:F26)</f>
        <v>0.4425</v>
      </c>
      <c r="W28" s="438"/>
      <c r="AB28" s="439"/>
      <c r="AG28" s="436"/>
      <c r="AL28" s="424"/>
      <c r="AQ28" s="436"/>
      <c r="AV28" s="437"/>
      <c r="BA28" s="424"/>
    </row>
    <row r="29" spans="2:76" ht="14.25" customHeight="1">
      <c r="L29" s="831" t="s">
        <v>481</v>
      </c>
      <c r="M29" s="732"/>
      <c r="N29" s="732"/>
      <c r="O29" s="732"/>
      <c r="P29" s="732"/>
      <c r="AP29" s="440">
        <f>AQ27-SUM(AM27:AO27)</f>
        <v>28.993773214107463</v>
      </c>
      <c r="AQ29" s="436"/>
      <c r="AV29" s="437"/>
      <c r="BA29" s="424"/>
    </row>
    <row r="30" spans="2:76" ht="14.25" customHeight="1">
      <c r="B30" s="828" t="s">
        <v>117</v>
      </c>
      <c r="C30" s="827"/>
      <c r="D30" s="827"/>
      <c r="E30" s="827"/>
      <c r="F30" s="829"/>
      <c r="M30" s="424" t="s">
        <v>474</v>
      </c>
      <c r="N30" s="424" t="s">
        <v>475</v>
      </c>
      <c r="O30" s="424" t="s">
        <v>476</v>
      </c>
      <c r="P30" s="424" t="s">
        <v>477</v>
      </c>
      <c r="Q30" s="424" t="s">
        <v>394</v>
      </c>
      <c r="AQ30" s="436"/>
      <c r="AV30" s="437"/>
      <c r="BA30" s="424"/>
    </row>
    <row r="31" spans="2:76" ht="14.25" customHeight="1">
      <c r="B31" s="610"/>
      <c r="C31" s="611" t="s">
        <v>474</v>
      </c>
      <c r="D31" s="611" t="s">
        <v>475</v>
      </c>
      <c r="E31" s="611" t="s">
        <v>476</v>
      </c>
      <c r="F31" s="612" t="s">
        <v>477</v>
      </c>
      <c r="L31" s="422">
        <v>2020</v>
      </c>
      <c r="AJ31" s="440">
        <f>AVERAGE(AG27,AL27)</f>
        <v>97.848052633749958</v>
      </c>
    </row>
    <row r="32" spans="2:76" ht="14.25" customHeight="1">
      <c r="B32" s="422">
        <v>2020</v>
      </c>
      <c r="C32" s="123">
        <v>0.33840809664776378</v>
      </c>
      <c r="D32" s="123">
        <v>0.34007584643288313</v>
      </c>
      <c r="E32" s="123">
        <v>0.32294062813868391</v>
      </c>
      <c r="F32" s="124">
        <v>0.28050951207345931</v>
      </c>
      <c r="L32" s="422">
        <v>2021</v>
      </c>
      <c r="R32" s="440"/>
      <c r="AR32" s="440"/>
      <c r="AS32" s="440"/>
      <c r="AT32" s="440"/>
      <c r="AU32" s="440"/>
      <c r="AV32" s="440"/>
      <c r="AW32" s="440"/>
      <c r="AX32" s="440"/>
      <c r="AY32" s="440"/>
      <c r="AZ32" s="440"/>
      <c r="BA32" s="440"/>
      <c r="BB32" s="440"/>
      <c r="BC32" s="440"/>
      <c r="BD32" s="440"/>
      <c r="BE32" s="440"/>
      <c r="BF32" s="440"/>
      <c r="BG32" s="440"/>
      <c r="BH32" s="440"/>
      <c r="BI32" s="440"/>
      <c r="BJ32" s="440"/>
      <c r="BK32" s="440"/>
      <c r="BL32" s="440"/>
      <c r="BM32" s="440"/>
      <c r="BN32" s="440"/>
      <c r="BO32" s="440"/>
      <c r="BP32" s="440"/>
      <c r="BQ32" s="440"/>
      <c r="BR32" s="440"/>
      <c r="BS32" s="440"/>
      <c r="BT32" s="440"/>
      <c r="BU32" s="440"/>
      <c r="BV32" s="440"/>
      <c r="BW32" s="440"/>
      <c r="BX32" s="440"/>
    </row>
    <row r="33" spans="2:48" ht="14.25" customHeight="1">
      <c r="B33" s="422">
        <v>2021</v>
      </c>
      <c r="C33" s="443">
        <v>0.34764981762912028</v>
      </c>
      <c r="D33" s="443">
        <v>0.33768364414303653</v>
      </c>
      <c r="E33" s="443">
        <v>0.32604124695091136</v>
      </c>
      <c r="F33" s="444">
        <v>0.26481454991050013</v>
      </c>
      <c r="L33" s="422">
        <v>2022</v>
      </c>
    </row>
    <row r="34" spans="2:48" ht="14.25" customHeight="1">
      <c r="B34" s="422">
        <v>2022</v>
      </c>
      <c r="C34" s="443">
        <v>0.36020914684632921</v>
      </c>
      <c r="D34" s="443">
        <v>0.32762878423739927</v>
      </c>
      <c r="E34" s="443">
        <v>0.2784971186310935</v>
      </c>
      <c r="F34" s="444">
        <v>0.18524891463714185</v>
      </c>
      <c r="L34" s="422">
        <v>2023</v>
      </c>
      <c r="AH34" s="424" t="s">
        <v>505</v>
      </c>
      <c r="AI34" s="440">
        <f t="shared" ref="AI34:AM34" si="9">AVERAGE(S27,X27,AC27,AH27,AM27)</f>
        <v>19.62701039778165</v>
      </c>
      <c r="AJ34" s="440">
        <f t="shared" si="9"/>
        <v>18.851318435929123</v>
      </c>
      <c r="AK34" s="440">
        <f t="shared" si="9"/>
        <v>20.925426596308654</v>
      </c>
      <c r="AL34" s="440">
        <f t="shared" si="9"/>
        <v>24.379530583619751</v>
      </c>
      <c r="AM34" s="440">
        <f t="shared" si="9"/>
        <v>83.78328601363917</v>
      </c>
    </row>
    <row r="35" spans="2:48" ht="14.25" customHeight="1">
      <c r="B35" s="422">
        <v>2023</v>
      </c>
      <c r="C35" s="443">
        <v>0.34530094352450225</v>
      </c>
      <c r="D35" s="443">
        <v>0.2711632460830371</v>
      </c>
      <c r="E35" s="443">
        <v>0.25738261027826936</v>
      </c>
      <c r="F35" s="444">
        <v>0.21399414183826318</v>
      </c>
      <c r="L35" s="422">
        <v>2024</v>
      </c>
      <c r="AH35" s="424" t="s">
        <v>506</v>
      </c>
      <c r="AI35" s="440">
        <f t="shared" ref="AI35:AM35" si="10">AVERAGE(AH27,AM27)</f>
        <v>25.863479602409612</v>
      </c>
      <c r="AJ35" s="440">
        <f t="shared" si="10"/>
        <v>23.163320550811711</v>
      </c>
      <c r="AK35" s="440">
        <f t="shared" si="10"/>
        <v>26.348152680375847</v>
      </c>
      <c r="AL35" s="440">
        <f t="shared" si="10"/>
        <v>27.244298674399907</v>
      </c>
      <c r="AM35" s="440">
        <f t="shared" si="10"/>
        <v>102.61925150799708</v>
      </c>
    </row>
    <row r="36" spans="2:48" ht="14.25" customHeight="1">
      <c r="B36" s="422">
        <v>2024</v>
      </c>
      <c r="C36" s="443">
        <v>0.31351992807872398</v>
      </c>
      <c r="D36" s="443">
        <v>0.27195457072500473</v>
      </c>
      <c r="E36" s="443">
        <v>0.26411323921218066</v>
      </c>
      <c r="F36" s="431"/>
      <c r="L36" s="424">
        <v>2025</v>
      </c>
      <c r="P36" s="424">
        <f>('SQURPHARMA Earnings Model T-1'!Y83/'SQURPHARMA Earnings Model T-1'!AA17)*90</f>
        <v>22.352134297414178</v>
      </c>
      <c r="AH36" s="424" t="s">
        <v>507</v>
      </c>
      <c r="AI36" s="440">
        <f t="shared" ref="AI36:AM36" si="11">AVERAGE(AC27,AH27,AM27)</f>
        <v>23.998833776416955</v>
      </c>
      <c r="AJ36" s="440">
        <f t="shared" si="11"/>
        <v>22.702773650841824</v>
      </c>
      <c r="AK36" s="440">
        <f t="shared" si="11"/>
        <v>24.915233364752325</v>
      </c>
      <c r="AL36" s="440">
        <f t="shared" si="11"/>
        <v>28.346956901147866</v>
      </c>
      <c r="AM36" s="440">
        <f t="shared" si="11"/>
        <v>99.963797693158952</v>
      </c>
    </row>
    <row r="37" spans="2:48" ht="14.25" customHeight="1">
      <c r="B37" s="445" t="s">
        <v>492</v>
      </c>
      <c r="C37" s="446">
        <f t="shared" ref="C37:F37" si="12">AVERAGE(C32:C36)</f>
        <v>0.34101758654528791</v>
      </c>
      <c r="D37" s="446">
        <f t="shared" si="12"/>
        <v>0.30970121832427217</v>
      </c>
      <c r="E37" s="446">
        <f t="shared" si="12"/>
        <v>0.28979496864222776</v>
      </c>
      <c r="F37" s="447">
        <f t="shared" si="12"/>
        <v>0.23614177961484112</v>
      </c>
      <c r="L37" s="424">
        <v>2026</v>
      </c>
    </row>
    <row r="38" spans="2:48" ht="14.25" customHeight="1"/>
    <row r="39" spans="2:48" ht="14.25" customHeight="1">
      <c r="B39" s="830" t="s">
        <v>120</v>
      </c>
      <c r="C39" s="764"/>
      <c r="D39" s="764"/>
      <c r="E39" s="764"/>
      <c r="F39" s="756"/>
      <c r="L39" s="831" t="s">
        <v>508</v>
      </c>
      <c r="M39" s="732"/>
      <c r="N39" s="732"/>
      <c r="O39" s="732"/>
      <c r="P39" s="732"/>
      <c r="X39" s="440" t="s">
        <v>191</v>
      </c>
      <c r="Z39" s="440"/>
      <c r="AA39" s="440">
        <v>7.3337337228648849</v>
      </c>
      <c r="AB39" s="440">
        <v>7.0757411620631547</v>
      </c>
      <c r="AC39" s="440">
        <v>5.3707706419130599</v>
      </c>
      <c r="AD39" s="440">
        <v>19.780245526841099</v>
      </c>
      <c r="AE39" s="440">
        <v>6.5989416504657328</v>
      </c>
      <c r="AF39" s="440">
        <v>6.4859190019035431</v>
      </c>
      <c r="AG39" s="440">
        <v>5.244169309577825</v>
      </c>
      <c r="AH39" s="440">
        <v>4.4777432634689553</v>
      </c>
      <c r="AI39" s="440">
        <v>22.806773225416055</v>
      </c>
      <c r="AJ39" s="440">
        <v>4.4401594987939887</v>
      </c>
      <c r="AK39" s="440">
        <v>4.131912718213643</v>
      </c>
      <c r="AL39" s="440">
        <v>4.0817446958414685</v>
      </c>
      <c r="AM39" s="440">
        <v>2.9457709727620149</v>
      </c>
      <c r="AN39" s="440">
        <v>15.599587885611115</v>
      </c>
      <c r="AO39" s="440">
        <v>3.3423132967800107</v>
      </c>
      <c r="AP39" s="440">
        <v>3.7555222161292807</v>
      </c>
      <c r="AQ39" s="440">
        <v>3.6501940282870469</v>
      </c>
      <c r="AR39" s="440">
        <v>3.530128292884811</v>
      </c>
      <c r="AS39" s="440">
        <v>14.278157834081149</v>
      </c>
      <c r="AT39" s="440">
        <v>3.6291052088387001</v>
      </c>
      <c r="AU39" s="440">
        <v>4.0246970945837006</v>
      </c>
      <c r="AV39" s="440">
        <v>3.2096910644041978</v>
      </c>
    </row>
    <row r="40" spans="2:48" ht="14.25" customHeight="1">
      <c r="B40" s="610"/>
      <c r="C40" s="611" t="s">
        <v>474</v>
      </c>
      <c r="D40" s="611" t="s">
        <v>475</v>
      </c>
      <c r="E40" s="611" t="s">
        <v>476</v>
      </c>
      <c r="F40" s="612" t="s">
        <v>477</v>
      </c>
      <c r="M40" s="424" t="s">
        <v>474</v>
      </c>
      <c r="N40" s="424" t="s">
        <v>475</v>
      </c>
      <c r="O40" s="424" t="s">
        <v>476</v>
      </c>
      <c r="P40" s="424" t="s">
        <v>477</v>
      </c>
      <c r="Q40" s="424" t="s">
        <v>394</v>
      </c>
    </row>
    <row r="41" spans="2:48" ht="14.25" customHeight="1">
      <c r="B41" s="422">
        <v>2020</v>
      </c>
      <c r="C41" s="123">
        <v>0.15</v>
      </c>
      <c r="D41" s="123">
        <v>0.17</v>
      </c>
      <c r="E41" s="123">
        <v>0.17</v>
      </c>
      <c r="F41" s="124">
        <v>0.18</v>
      </c>
      <c r="L41" s="424">
        <v>2025</v>
      </c>
      <c r="P41" s="424">
        <f>(P36/90)*'SQURPHARMA Earnings Model T-1'!AA17</f>
        <v>4647.246897</v>
      </c>
    </row>
    <row r="42" spans="2:48" ht="14.25" customHeight="1">
      <c r="B42" s="422">
        <v>2021</v>
      </c>
      <c r="C42" s="424">
        <v>0.15</v>
      </c>
      <c r="D42" s="424">
        <v>0.18</v>
      </c>
      <c r="E42" s="424">
        <v>0.17</v>
      </c>
      <c r="F42" s="431">
        <v>0.24</v>
      </c>
      <c r="L42" s="424">
        <v>2026</v>
      </c>
    </row>
    <row r="43" spans="2:48" ht="14.25" customHeight="1">
      <c r="B43" s="422">
        <v>2022</v>
      </c>
      <c r="C43" s="424">
        <v>0.16</v>
      </c>
      <c r="D43" s="424">
        <v>0.18</v>
      </c>
      <c r="E43" s="424">
        <v>0.19</v>
      </c>
      <c r="F43" s="431">
        <v>0.22</v>
      </c>
    </row>
    <row r="44" spans="2:48" ht="14.25" customHeight="1">
      <c r="B44" s="422">
        <v>2023</v>
      </c>
      <c r="C44" s="424">
        <v>0.17</v>
      </c>
      <c r="D44" s="424">
        <v>0.19</v>
      </c>
      <c r="E44" s="424">
        <v>0.23</v>
      </c>
      <c r="F44" s="431">
        <v>0.09</v>
      </c>
    </row>
    <row r="45" spans="2:48" ht="14.25" customHeight="1">
      <c r="B45" s="422">
        <v>2024</v>
      </c>
      <c r="C45" s="424">
        <v>0.17</v>
      </c>
      <c r="D45" s="424">
        <v>0.15</v>
      </c>
      <c r="E45" s="424">
        <v>0.19</v>
      </c>
      <c r="F45" s="431"/>
    </row>
    <row r="46" spans="2:48" ht="14.25" customHeight="1">
      <c r="B46" s="445" t="s">
        <v>509</v>
      </c>
      <c r="C46" s="446">
        <f t="shared" ref="C46:F46" si="13">AVERAGE(C41:C45)</f>
        <v>0.16</v>
      </c>
      <c r="D46" s="446">
        <f t="shared" si="13"/>
        <v>0.17399999999999999</v>
      </c>
      <c r="E46" s="446">
        <f t="shared" si="13"/>
        <v>0.19</v>
      </c>
      <c r="F46" s="447">
        <f t="shared" si="13"/>
        <v>0.1825</v>
      </c>
    </row>
    <row r="47" spans="2:48" ht="14.25" customHeight="1"/>
    <row r="48" spans="2:48" ht="14.25" customHeight="1">
      <c r="B48" s="828" t="s">
        <v>121</v>
      </c>
      <c r="C48" s="827"/>
      <c r="D48" s="827"/>
      <c r="E48" s="827"/>
      <c r="F48" s="827"/>
    </row>
    <row r="49" spans="2:19" ht="14.25" customHeight="1">
      <c r="B49" s="613"/>
      <c r="C49" s="614" t="s">
        <v>474</v>
      </c>
      <c r="D49" s="614" t="s">
        <v>475</v>
      </c>
      <c r="E49" s="614" t="s">
        <v>476</v>
      </c>
      <c r="F49" s="615" t="s">
        <v>477</v>
      </c>
    </row>
    <row r="50" spans="2:19" ht="14.25" customHeight="1">
      <c r="B50" s="422">
        <v>2020</v>
      </c>
      <c r="C50" s="424">
        <v>0.02</v>
      </c>
      <c r="D50" s="424">
        <v>0.02</v>
      </c>
      <c r="E50" s="424">
        <v>0.02</v>
      </c>
      <c r="F50" s="616">
        <v>0.03</v>
      </c>
    </row>
    <row r="51" spans="2:19" ht="14.25" customHeight="1">
      <c r="B51" s="422">
        <v>2021</v>
      </c>
      <c r="C51" s="424">
        <v>0.02</v>
      </c>
      <c r="D51" s="424">
        <v>0.02</v>
      </c>
      <c r="E51" s="424">
        <v>0.02</v>
      </c>
      <c r="F51" s="616">
        <v>0.03</v>
      </c>
    </row>
    <row r="52" spans="2:19" ht="14.25" customHeight="1">
      <c r="B52" s="422">
        <v>2022</v>
      </c>
      <c r="C52" s="424">
        <v>0.02</v>
      </c>
      <c r="D52" s="424">
        <v>0.02</v>
      </c>
      <c r="E52" s="424">
        <v>0.02</v>
      </c>
      <c r="F52" s="616">
        <v>0.03</v>
      </c>
    </row>
    <row r="53" spans="2:19" ht="14.25" customHeight="1">
      <c r="B53" s="422">
        <v>2023</v>
      </c>
      <c r="C53" s="424">
        <v>0.02</v>
      </c>
      <c r="D53" s="424">
        <v>0.02</v>
      </c>
      <c r="E53" s="424">
        <v>0.02</v>
      </c>
      <c r="F53" s="616">
        <v>0.04</v>
      </c>
    </row>
    <row r="54" spans="2:19" ht="14.25" customHeight="1">
      <c r="B54" s="422">
        <v>2024</v>
      </c>
      <c r="C54" s="424">
        <v>0.02</v>
      </c>
      <c r="D54" s="424">
        <v>0.02</v>
      </c>
      <c r="E54" s="424">
        <v>0.03</v>
      </c>
      <c r="F54" s="617"/>
    </row>
    <row r="55" spans="2:19" ht="14.25" customHeight="1">
      <c r="B55" s="445" t="s">
        <v>492</v>
      </c>
      <c r="C55" s="450">
        <f t="shared" ref="C55:F55" si="14">AVERAGE(C50:C54)</f>
        <v>0.02</v>
      </c>
      <c r="D55" s="450">
        <f t="shared" si="14"/>
        <v>0.02</v>
      </c>
      <c r="E55" s="450">
        <f t="shared" si="14"/>
        <v>2.1999999999999999E-2</v>
      </c>
      <c r="F55" s="618">
        <f t="shared" si="14"/>
        <v>3.2500000000000001E-2</v>
      </c>
    </row>
    <row r="56" spans="2:19" ht="14.25" customHeight="1"/>
    <row r="57" spans="2:19" ht="14.25" customHeight="1"/>
    <row r="58" spans="2:19" ht="14.25" customHeight="1">
      <c r="B58" s="620" t="s">
        <v>510</v>
      </c>
      <c r="C58" s="832" t="s">
        <v>88</v>
      </c>
      <c r="D58" s="827"/>
      <c r="E58" s="827"/>
      <c r="F58" s="829"/>
      <c r="G58" s="832" t="s">
        <v>89</v>
      </c>
      <c r="H58" s="827"/>
      <c r="I58" s="827"/>
      <c r="J58" s="829"/>
      <c r="K58" s="832" t="s">
        <v>90</v>
      </c>
      <c r="L58" s="827"/>
      <c r="M58" s="827"/>
      <c r="N58" s="827"/>
    </row>
    <row r="59" spans="2:19" ht="14.25" customHeight="1">
      <c r="B59" s="613" t="s">
        <v>394</v>
      </c>
      <c r="C59" s="614" t="s">
        <v>474</v>
      </c>
      <c r="D59" s="614" t="s">
        <v>475</v>
      </c>
      <c r="E59" s="614" t="s">
        <v>476</v>
      </c>
      <c r="F59" s="614" t="s">
        <v>477</v>
      </c>
      <c r="G59" s="614" t="s">
        <v>474</v>
      </c>
      <c r="H59" s="614" t="s">
        <v>475</v>
      </c>
      <c r="I59" s="614" t="s">
        <v>476</v>
      </c>
      <c r="J59" s="614" t="s">
        <v>477</v>
      </c>
      <c r="K59" s="614" t="s">
        <v>474</v>
      </c>
      <c r="L59" s="614" t="s">
        <v>475</v>
      </c>
      <c r="M59" s="614" t="s">
        <v>476</v>
      </c>
      <c r="N59" s="619" t="s">
        <v>477</v>
      </c>
    </row>
    <row r="60" spans="2:19" ht="14.25" customHeight="1">
      <c r="B60" s="422">
        <v>2020</v>
      </c>
      <c r="C60" s="452">
        <f>'SQURPHARMA Earnings Model T-1'!D20/'SQURPHARMA Earnings Model T-1'!D23</f>
        <v>0.8844560874092825</v>
      </c>
      <c r="D60" s="452">
        <f>'SQURPHARMA Earnings Model T-1'!E20/'SQURPHARMA Earnings Model T-1'!E23</f>
        <v>0.87472768586843308</v>
      </c>
      <c r="E60" s="452">
        <f>'SQURPHARMA Earnings Model T-1'!F20/'SQURPHARMA Earnings Model T-1'!F23</f>
        <v>0.87137923369774151</v>
      </c>
      <c r="F60" s="452">
        <f>'SQURPHARMA Earnings Model T-1'!G20/'SQURPHARMA Earnings Model T-1'!G23</f>
        <v>0.87311075695199414</v>
      </c>
      <c r="G60" s="452">
        <f>'SQURPHARMA Earnings Model T-1'!E21/'SQURPHARMA Earnings Model T-1'!E23</f>
        <v>0.12527231413156703</v>
      </c>
      <c r="H60" s="452">
        <f>'SQURPHARMA Earnings Model T-1'!F21/'SQURPHARMA Earnings Model T-1'!F23</f>
        <v>0.12861918776452705</v>
      </c>
      <c r="I60" s="452">
        <f>'SQURPHARMA Earnings Model T-1'!G21/'SQURPHARMA Earnings Model T-1'!G23</f>
        <v>0.12688768388830293</v>
      </c>
      <c r="J60" s="452">
        <f>'SQURPHARMA Earnings Model T-1'!H21/'SQURPHARMA Earnings Model T-1'!H23</f>
        <v>0.12441260042416127</v>
      </c>
      <c r="K60" s="452">
        <f>'SQURPHARMA Earnings Model T-1'!D22/'SQURPHARMA Earnings Model T-1'!D23</f>
        <v>2.4401492124879663E-6</v>
      </c>
      <c r="L60" s="452">
        <f>'SQURPHARMA Earnings Model T-1'!E22/'SQURPHARMA Earnings Model T-1'!E23</f>
        <v>0</v>
      </c>
      <c r="M60" s="452">
        <f>'SQURPHARMA Earnings Model T-1'!F22/'SQURPHARMA Earnings Model T-1'!F23</f>
        <v>1.5785377315423115E-6</v>
      </c>
      <c r="N60" s="453">
        <f>'SQURPHARMA Earnings Model T-1'!G22/'SQURPHARMA Earnings Model T-1'!G23</f>
        <v>1.5591597029432423E-6</v>
      </c>
      <c r="P60" s="454">
        <f t="shared" ref="P60:S60" si="15">C60+G60+K60</f>
        <v>1.0097308416900619</v>
      </c>
      <c r="Q60" s="454">
        <f t="shared" si="15"/>
        <v>1.00334687363296</v>
      </c>
      <c r="R60" s="454">
        <f t="shared" si="15"/>
        <v>0.99826849612377599</v>
      </c>
      <c r="S60" s="454">
        <f t="shared" si="15"/>
        <v>0.99752491653585829</v>
      </c>
    </row>
    <row r="61" spans="2:19" ht="14.25" customHeight="1">
      <c r="B61" s="422">
        <v>2021</v>
      </c>
      <c r="C61" s="452">
        <f>'SQURPHARMA Earnings Model T-1'!I20/'SQURPHARMA Earnings Model T-1'!I23</f>
        <v>0.89385993892162086</v>
      </c>
      <c r="D61" s="452">
        <f>'SQURPHARMA Earnings Model T-1'!J20/'SQURPHARMA Earnings Model T-1'!J23</f>
        <v>0.88047084504897821</v>
      </c>
      <c r="E61" s="452">
        <f>'SQURPHARMA Earnings Model T-1'!K20/'SQURPHARMA Earnings Model T-1'!K23</f>
        <v>0.87469217611262673</v>
      </c>
      <c r="F61" s="452">
        <f>'SQURPHARMA Earnings Model T-1'!L20/'SQURPHARMA Earnings Model T-1'!L23</f>
        <v>0.87936942320150224</v>
      </c>
      <c r="G61" s="452">
        <f>'SQURPHARMA Earnings Model T-1'!I21/'SQURPHARMA Earnings Model T-1'!I23</f>
        <v>0.10613114867816055</v>
      </c>
      <c r="H61" s="452">
        <f>'SQURPHARMA Earnings Model T-1'!J21/'SQURPHARMA Earnings Model T-1'!J23</f>
        <v>0.11952890944360361</v>
      </c>
      <c r="I61" s="452">
        <f>'SQURPHARMA Earnings Model T-1'!K21/'SQURPHARMA Earnings Model T-1'!K23</f>
        <v>0.12530693216328995</v>
      </c>
      <c r="J61" s="452">
        <f>'SQURPHARMA Earnings Model T-1'!L21/'SQURPHARMA Earnings Model T-1'!L23</f>
        <v>0.12062940705097507</v>
      </c>
      <c r="K61" s="452">
        <f>'SQURPHARMA Earnings Model T-1'!I22/'SQURPHARMA Earnings Model T-1'!I23</f>
        <v>8.9124002184548297E-6</v>
      </c>
      <c r="L61" s="452">
        <f>'SQURPHARMA Earnings Model T-1'!J22/'SQURPHARMA Earnings Model T-1'!J23</f>
        <v>2.45507418160126E-7</v>
      </c>
      <c r="M61" s="452">
        <f>'SQURPHARMA Earnings Model T-1'!K22/'SQURPHARMA Earnings Model T-1'!K23</f>
        <v>8.9172408319095932E-7</v>
      </c>
      <c r="N61" s="453">
        <f>'SQURPHARMA Earnings Model T-1'!L22/'SQURPHARMA Earnings Model T-1'!L23</f>
        <v>1.1697475227417457E-6</v>
      </c>
      <c r="P61" s="454">
        <f t="shared" ref="P61:S61" si="16">C61+G61+K61</f>
        <v>0.99999999999999989</v>
      </c>
      <c r="Q61" s="454">
        <f t="shared" si="16"/>
        <v>1</v>
      </c>
      <c r="R61" s="454">
        <f t="shared" si="16"/>
        <v>0.99999999999999989</v>
      </c>
      <c r="S61" s="454">
        <f t="shared" si="16"/>
        <v>1</v>
      </c>
    </row>
    <row r="62" spans="2:19" ht="14.25" customHeight="1">
      <c r="B62" s="422">
        <v>2022</v>
      </c>
      <c r="C62" s="452">
        <f>'SQURPHARMA Earnings Model T-1'!N20/'SQURPHARMA Earnings Model T-1'!N23</f>
        <v>0.88336515985581132</v>
      </c>
      <c r="D62" s="452">
        <f>'SQURPHARMA Earnings Model T-1'!O20/'SQURPHARMA Earnings Model T-1'!O23</f>
        <v>0.87669444862261436</v>
      </c>
      <c r="E62" s="452">
        <f>'SQURPHARMA Earnings Model T-1'!P20/'SQURPHARMA Earnings Model T-1'!P23</f>
        <v>0.88491137546924392</v>
      </c>
      <c r="F62" s="452">
        <f>'SQURPHARMA Earnings Model T-1'!Q20/'SQURPHARMA Earnings Model T-1'!Q23</f>
        <v>0.86532901247768779</v>
      </c>
      <c r="G62" s="452">
        <f>'SQURPHARMA Earnings Model T-1'!N21/'SQURPHARMA Earnings Model T-1'!N23</f>
        <v>0.11663484014418862</v>
      </c>
      <c r="H62" s="452">
        <f>'SQURPHARMA Earnings Model T-1'!O21/'SQURPHARMA Earnings Model T-1'!O23</f>
        <v>0.11328053980537546</v>
      </c>
      <c r="I62" s="452">
        <f>'SQURPHARMA Earnings Model T-1'!P21/'SQURPHARMA Earnings Model T-1'!P23</f>
        <v>0.10283956279056379</v>
      </c>
      <c r="J62" s="452">
        <f>'SQURPHARMA Earnings Model T-1'!Q21/'SQURPHARMA Earnings Model T-1'!Q23</f>
        <v>0.12305499298912081</v>
      </c>
      <c r="K62" s="452">
        <f>'SQURPHARMA Earnings Model T-1'!N22/'SQURPHARMA Earnings Model T-1'!N23</f>
        <v>0</v>
      </c>
      <c r="L62" s="452">
        <f>'SQURPHARMA Earnings Model T-1'!O22/'SQURPHARMA Earnings Model T-1'!O23</f>
        <v>1.0025011572010118E-2</v>
      </c>
      <c r="M62" s="452">
        <f>'SQURPHARMA Earnings Model T-1'!P22/'SQURPHARMA Earnings Model T-1'!P23</f>
        <v>1.2249061740192264E-2</v>
      </c>
      <c r="N62" s="453">
        <f>'SQURPHARMA Earnings Model T-1'!Q22/'SQURPHARMA Earnings Model T-1'!Q23</f>
        <v>1.1615994533191435E-2</v>
      </c>
      <c r="P62" s="454">
        <f t="shared" ref="P62:S62" si="17">C62+G62+K62</f>
        <v>1</v>
      </c>
      <c r="Q62" s="454">
        <f t="shared" si="17"/>
        <v>0.99999999999999989</v>
      </c>
      <c r="R62" s="454">
        <f t="shared" si="17"/>
        <v>1</v>
      </c>
      <c r="S62" s="454">
        <f t="shared" si="17"/>
        <v>1</v>
      </c>
    </row>
    <row r="63" spans="2:19" ht="14.25" customHeight="1">
      <c r="B63" s="422">
        <v>2023</v>
      </c>
      <c r="C63" s="452">
        <f>'SQURPHARMA Earnings Model T-1'!S20/'SQURPHARMA Earnings Model T-1'!S23</f>
        <v>0.89155819692148097</v>
      </c>
      <c r="D63" s="452">
        <f>'SQURPHARMA Earnings Model T-1'!T20/'SQURPHARMA Earnings Model T-1'!T23</f>
        <v>0.88137187978522891</v>
      </c>
      <c r="E63" s="452">
        <f>'SQURPHARMA Earnings Model T-1'!U20/'SQURPHARMA Earnings Model T-1'!U23</f>
        <v>0.89167262218024113</v>
      </c>
      <c r="F63" s="452">
        <f>'SQURPHARMA Earnings Model T-1'!V20/'SQURPHARMA Earnings Model T-1'!V23</f>
        <v>0.64788887997620714</v>
      </c>
      <c r="G63" s="452">
        <f>'SQURPHARMA Earnings Model T-1'!S21/'SQURPHARMA Earnings Model T-1'!S23</f>
        <v>9.6649084835107299E-2</v>
      </c>
      <c r="H63" s="452">
        <f>'SQURPHARMA Earnings Model T-1'!T21/'SQURPHARMA Earnings Model T-1'!T23</f>
        <v>0.10422841498154255</v>
      </c>
      <c r="I63" s="452">
        <f>'SQURPHARMA Earnings Model T-1'!U21/'SQURPHARMA Earnings Model T-1'!U23</f>
        <v>9.2068252746334275E-2</v>
      </c>
      <c r="J63" s="452">
        <f>'SQURPHARMA Earnings Model T-1'!V21/'SQURPHARMA Earnings Model T-1'!V23</f>
        <v>0.31917544789631508</v>
      </c>
      <c r="K63" s="452">
        <f>'SQURPHARMA Earnings Model T-1'!S22/'SQURPHARMA Earnings Model T-1'!S23</f>
        <v>1.1792718243411696E-2</v>
      </c>
      <c r="L63" s="452">
        <f>'SQURPHARMA Earnings Model T-1'!T22/'SQURPHARMA Earnings Model T-1'!T23</f>
        <v>1.4399705233228515E-2</v>
      </c>
      <c r="M63" s="452">
        <f>'SQURPHARMA Earnings Model T-1'!U22/'SQURPHARMA Earnings Model T-1'!U23</f>
        <v>1.6259125073424665E-2</v>
      </c>
      <c r="N63" s="453">
        <f>'SQURPHARMA Earnings Model T-1'!V22/'SQURPHARMA Earnings Model T-1'!V23</f>
        <v>3.2935672127477479E-2</v>
      </c>
      <c r="P63" s="454">
        <f t="shared" ref="P63:S63" si="18">C63+G63+K63</f>
        <v>0.99999999999999989</v>
      </c>
      <c r="Q63" s="454">
        <f t="shared" si="18"/>
        <v>1</v>
      </c>
      <c r="R63" s="454">
        <f t="shared" si="18"/>
        <v>1</v>
      </c>
      <c r="S63" s="454">
        <f t="shared" si="18"/>
        <v>0.99999999999999967</v>
      </c>
    </row>
    <row r="64" spans="2:19" ht="14.25" customHeight="1">
      <c r="B64" s="422">
        <v>2024</v>
      </c>
      <c r="C64" s="452">
        <f>'SQURPHARMA Earnings Model T-1'!X20/'SQURPHARMA Earnings Model T-1'!X23</f>
        <v>0.85749091558907997</v>
      </c>
      <c r="D64" s="452">
        <f>'SQURPHARMA Earnings Model T-1'!Y20/'SQURPHARMA Earnings Model T-1'!Y23</f>
        <v>0.85581900262295618</v>
      </c>
      <c r="E64" s="452">
        <f>'SQURPHARMA Earnings Model T-1'!Z20/'SQURPHARMA Earnings Model T-1'!Z23</f>
        <v>0.86898556159253248</v>
      </c>
      <c r="F64" s="291"/>
      <c r="G64" s="452">
        <f>'SQURPHARMA Earnings Model T-1'!X21/'SQURPHARMA Earnings Model T-1'!X23</f>
        <v>0.12321528341710604</v>
      </c>
      <c r="H64" s="452">
        <f>'SQURPHARMA Earnings Model T-1'!Y21/'SQURPHARMA Earnings Model T-1'!Y23</f>
        <v>0.12745201909914744</v>
      </c>
      <c r="I64" s="452">
        <f>'SQURPHARMA Earnings Model T-1'!Z21/'SQURPHARMA Earnings Model T-1'!Z23</f>
        <v>0.12004028351636602</v>
      </c>
      <c r="J64" s="291"/>
      <c r="K64" s="452">
        <f>'SQURPHARMA Earnings Model T-1'!X22/'SQURPHARMA Earnings Model T-1'!X23</f>
        <v>1.9293800993813944E-2</v>
      </c>
      <c r="L64" s="452">
        <f>'SQURPHARMA Earnings Model T-1'!Y22/'SQURPHARMA Earnings Model T-1'!Y23</f>
        <v>1.6728978277896274E-2</v>
      </c>
      <c r="M64" s="452">
        <f>'SQURPHARMA Earnings Model T-1'!Z22/'SQURPHARMA Earnings Model T-1'!Z23</f>
        <v>1.0974154891101453E-2</v>
      </c>
      <c r="N64" s="453"/>
      <c r="P64" s="454">
        <f t="shared" ref="P64:S64" si="19">C64+G64+K64</f>
        <v>1</v>
      </c>
      <c r="Q64" s="454">
        <f t="shared" si="19"/>
        <v>1</v>
      </c>
      <c r="R64" s="454">
        <f t="shared" si="19"/>
        <v>0.99999999999999989</v>
      </c>
      <c r="S64" s="454">
        <f t="shared" si="19"/>
        <v>0</v>
      </c>
    </row>
    <row r="65" spans="2:20" ht="14.25" customHeight="1">
      <c r="B65" s="427" t="s">
        <v>492</v>
      </c>
      <c r="C65" s="455">
        <f t="shared" ref="C65:E65" si="20">AVERAGE(C60:C64)</f>
        <v>0.88214605973945515</v>
      </c>
      <c r="D65" s="455">
        <f t="shared" si="20"/>
        <v>0.87381677238964206</v>
      </c>
      <c r="E65" s="455">
        <f t="shared" si="20"/>
        <v>0.87832819381047733</v>
      </c>
      <c r="F65" s="455">
        <f>AVERAGE(F60:F63)</f>
        <v>0.8164245181518478</v>
      </c>
      <c r="G65" s="455">
        <f t="shared" ref="G65:I65" si="21">AVERAGE(G60:G64)</f>
        <v>0.11358053424122591</v>
      </c>
      <c r="H65" s="455">
        <f t="shared" si="21"/>
        <v>0.11862181421883924</v>
      </c>
      <c r="I65" s="455">
        <f t="shared" si="21"/>
        <v>0.11342854302097138</v>
      </c>
      <c r="J65" s="455">
        <f>AVERAGE(J60:J63)</f>
        <v>0.17181811209014305</v>
      </c>
      <c r="K65" s="455">
        <f t="shared" ref="K65:M65" si="22">AVERAGE(K60:K64)</f>
        <v>6.2195743573313167E-3</v>
      </c>
      <c r="L65" s="455">
        <f t="shared" si="22"/>
        <v>8.2307881181106126E-3</v>
      </c>
      <c r="M65" s="455">
        <f t="shared" si="22"/>
        <v>7.8969623933066221E-3</v>
      </c>
      <c r="N65" s="456">
        <f>AVERAGE(N60:N63)</f>
        <v>1.1138598891973651E-2</v>
      </c>
    </row>
    <row r="66" spans="2:20" ht="14.25" customHeight="1"/>
    <row r="67" spans="2:20" ht="14.25" customHeight="1">
      <c r="B67" s="833" t="s">
        <v>511</v>
      </c>
      <c r="C67" s="827"/>
      <c r="D67" s="827"/>
      <c r="E67" s="827"/>
      <c r="F67" s="827"/>
      <c r="G67" s="827"/>
      <c r="H67" s="827"/>
    </row>
    <row r="68" spans="2:20" ht="14.25" customHeight="1">
      <c r="B68" s="834" t="s">
        <v>158</v>
      </c>
      <c r="C68" s="742"/>
      <c r="D68" s="742"/>
      <c r="E68" s="742"/>
      <c r="F68" s="621">
        <f>5%+10.01%</f>
        <v>0.15010000000000001</v>
      </c>
      <c r="G68" s="506"/>
      <c r="H68" s="617"/>
    </row>
    <row r="69" spans="2:20" ht="14.25" customHeight="1">
      <c r="B69" s="835" t="s">
        <v>166</v>
      </c>
      <c r="C69" s="836"/>
      <c r="D69" s="836"/>
      <c r="E69" s="836"/>
      <c r="F69" s="623">
        <f>5.25%+10.48%</f>
        <v>0.1573</v>
      </c>
      <c r="G69" s="622"/>
      <c r="H69" s="565"/>
    </row>
    <row r="70" spans="2:20" ht="14.25" customHeight="1"/>
    <row r="71" spans="2:20" ht="14.25" customHeight="1"/>
    <row r="72" spans="2:20" ht="14.25" customHeight="1"/>
    <row r="73" spans="2:20" ht="14.25" customHeight="1">
      <c r="B73" s="624"/>
      <c r="C73" s="625"/>
      <c r="D73" s="625" t="s">
        <v>159</v>
      </c>
      <c r="E73" s="625"/>
      <c r="F73" s="626"/>
      <c r="J73" s="837" t="s">
        <v>512</v>
      </c>
      <c r="K73" s="732"/>
      <c r="L73" s="732"/>
      <c r="M73" s="732"/>
      <c r="N73" s="732"/>
      <c r="P73" s="838"/>
      <c r="Q73" s="732"/>
      <c r="R73" s="732"/>
      <c r="S73" s="732"/>
      <c r="T73" s="732"/>
    </row>
    <row r="74" spans="2:20" ht="14.25" customHeight="1">
      <c r="B74" s="610"/>
      <c r="C74" s="611" t="s">
        <v>474</v>
      </c>
      <c r="D74" s="611" t="s">
        <v>475</v>
      </c>
      <c r="E74" s="611" t="s">
        <v>476</v>
      </c>
      <c r="F74" s="612" t="s">
        <v>477</v>
      </c>
      <c r="J74" s="448"/>
      <c r="K74" s="449" t="s">
        <v>513</v>
      </c>
      <c r="L74" s="449" t="s">
        <v>514</v>
      </c>
      <c r="M74" s="449" t="s">
        <v>515</v>
      </c>
      <c r="N74" s="451" t="s">
        <v>516</v>
      </c>
      <c r="P74" s="424"/>
      <c r="Q74" s="424"/>
      <c r="R74" s="424"/>
      <c r="S74" s="424"/>
      <c r="T74" s="424"/>
    </row>
    <row r="75" spans="2:20" ht="14.25" customHeight="1">
      <c r="B75" s="430"/>
      <c r="D75" s="424">
        <f>('SQURPHARMA Earnings Model T-1'!E103-'SQURPHARMA Earnings Model T-1'!D103)/'SQURPHARMA Earnings Model T-1'!D103</f>
        <v>-4.2516057648343568E-3</v>
      </c>
      <c r="E75" s="424">
        <f>('SQURPHARMA Earnings Model T-1'!F103-'SQURPHARMA Earnings Model T-1'!E103)/'SQURPHARMA Earnings Model T-1'!E103</f>
        <v>-8.5241399855595593E-3</v>
      </c>
      <c r="F75" s="431">
        <f>('SQURPHARMA Earnings Model T-1'!G103-'SQURPHARMA Earnings Model T-1'!F103)/'SQURPHARMA Earnings Model T-1'!F103</f>
        <v>0.1391892902880946</v>
      </c>
      <c r="J75" s="422" t="s">
        <v>517</v>
      </c>
      <c r="K75" s="457">
        <f>'SQURPHARMA Earnings Model T-1'!V18</f>
        <v>10473.873721999997</v>
      </c>
      <c r="L75" s="457">
        <f>'SQURPHARMA Earnings Model T-1'!X18</f>
        <v>8828.4597379999996</v>
      </c>
      <c r="M75" s="457">
        <f>'SQURPHARMA Earnings Model T-1'!Y18</f>
        <v>11064.971566</v>
      </c>
      <c r="N75" s="457">
        <f>'SQURPHARMA Earnings Model T-1'!Z18</f>
        <v>10451.313698</v>
      </c>
      <c r="P75" s="458"/>
      <c r="Q75" s="457"/>
      <c r="R75" s="457"/>
      <c r="S75" s="457"/>
      <c r="T75" s="457"/>
    </row>
    <row r="76" spans="2:20" ht="14.25" customHeight="1">
      <c r="B76" s="430"/>
      <c r="C76" s="424">
        <f>('SQURPHARMA Earnings Model T-1'!I103-'SQURPHARMA Earnings Model T-1'!G103)/'SQURPHARMA Earnings Model T-1'!G103</f>
        <v>-0.72437337888148678</v>
      </c>
      <c r="D76" s="424">
        <f>('SQURPHARMA Earnings Model T-1'!J103-'SQURPHARMA Earnings Model T-1'!I103)/'SQURPHARMA Earnings Model T-1'!I103</f>
        <v>-3.8657930394819309E-2</v>
      </c>
      <c r="E76" s="424">
        <f>('SQURPHARMA Earnings Model T-1'!K103-'SQURPHARMA Earnings Model T-1'!J103)/'SQURPHARMA Earnings Model T-1'!J103</f>
        <v>-0.25306885096901849</v>
      </c>
      <c r="F76" s="431">
        <f>('SQURPHARMA Earnings Model T-1'!L103-'SQURPHARMA Earnings Model T-1'!K103)/'SQURPHARMA Earnings Model T-1'!K103</f>
        <v>0.74591408371591261</v>
      </c>
      <c r="J76" s="422" t="s">
        <v>518</v>
      </c>
      <c r="K76" s="137">
        <v>1455.4282720000001</v>
      </c>
      <c r="L76" s="136">
        <v>1532.3646550000001</v>
      </c>
      <c r="M76" s="136">
        <v>1325.420965</v>
      </c>
      <c r="N76" s="136">
        <v>1260.5370579999999</v>
      </c>
      <c r="P76" s="458"/>
      <c r="Q76" s="211"/>
      <c r="R76" s="459"/>
      <c r="S76" s="459"/>
      <c r="T76" s="459"/>
    </row>
    <row r="77" spans="2:20" ht="14.25" customHeight="1">
      <c r="B77" s="430"/>
      <c r="C77" s="424">
        <f>('SQURPHARMA Earnings Model T-1'!N103-'SQURPHARMA Earnings Model T-1'!L103)/'SQURPHARMA Earnings Model T-1'!L103</f>
        <v>-1.840516111458497E-2</v>
      </c>
      <c r="D77" s="424">
        <f>('SQURPHARMA Earnings Model T-1'!O103-'SQURPHARMA Earnings Model T-1'!N103)/'SQURPHARMA Earnings Model T-1'!N103</f>
        <v>-1.116211680753899E-2</v>
      </c>
      <c r="E77" s="424">
        <f>('SQURPHARMA Earnings Model T-1'!P103-'SQURPHARMA Earnings Model T-1'!O103)/'SQURPHARMA Earnings Model T-1'!O103</f>
        <v>-1.2576945580175051E-2</v>
      </c>
      <c r="F77" s="431">
        <f>('SQURPHARMA Earnings Model T-1'!Q103-'SQURPHARMA Earnings Model T-1'!P103)/'SQURPHARMA Earnings Model T-1'!P103</f>
        <v>0.27968990252039966</v>
      </c>
      <c r="J77" s="422" t="s">
        <v>519</v>
      </c>
      <c r="K77" s="434">
        <f t="shared" ref="K77:N77" si="23">K76/K75</f>
        <v>0.13895797396744675</v>
      </c>
      <c r="L77" s="434">
        <f t="shared" si="23"/>
        <v>0.17357100790801613</v>
      </c>
      <c r="M77" s="434">
        <f t="shared" si="23"/>
        <v>0.11978530239270567</v>
      </c>
      <c r="N77" s="434">
        <f t="shared" si="23"/>
        <v>0.12061039352796583</v>
      </c>
      <c r="P77" s="458"/>
      <c r="Q77" s="434"/>
      <c r="R77" s="434"/>
      <c r="S77" s="434"/>
      <c r="T77" s="434"/>
    </row>
    <row r="78" spans="2:20" ht="14.25" customHeight="1">
      <c r="B78" s="430"/>
      <c r="C78" s="424">
        <f>('SQURPHARMA Earnings Model T-1'!S103-'SQURPHARMA Earnings Model T-1'!Q103)/'SQURPHARMA Earnings Model T-1'!Q103</f>
        <v>-4.4073021392310022E-2</v>
      </c>
      <c r="D78" s="424">
        <f>('SQURPHARMA Earnings Model T-1'!T103-'SQURPHARMA Earnings Model T-1'!S103)/'SQURPHARMA Earnings Model T-1'!S103</f>
        <v>-9.8731973493278204E-3</v>
      </c>
      <c r="E78" s="424">
        <f>('SQURPHARMA Earnings Model T-1'!U103-'SQURPHARMA Earnings Model T-1'!T103)/'SQURPHARMA Earnings Model T-1'!T103</f>
        <v>0.6047041030005208</v>
      </c>
      <c r="F78" s="431">
        <f>('SQURPHARMA Earnings Model T-1'!V103-'SQURPHARMA Earnings Model T-1'!U103)/'SQURPHARMA Earnings Model T-1'!U103</f>
        <v>-0.20500826708686223</v>
      </c>
      <c r="J78" s="422" t="s">
        <v>492</v>
      </c>
      <c r="K78" s="434">
        <f>AVERAGE(K77:N77)</f>
        <v>0.1382311694490336</v>
      </c>
      <c r="L78" s="434"/>
      <c r="M78" s="434"/>
      <c r="N78" s="460"/>
      <c r="P78" s="458"/>
      <c r="Q78" s="434"/>
      <c r="R78" s="434"/>
      <c r="S78" s="434"/>
      <c r="T78" s="434"/>
    </row>
    <row r="79" spans="2:20" ht="14.25" customHeight="1">
      <c r="B79" s="445" t="s">
        <v>492</v>
      </c>
      <c r="C79" s="450">
        <f>AVERAGE(C76:C78)</f>
        <v>-0.26228385379612729</v>
      </c>
      <c r="D79" s="450">
        <f t="shared" ref="D79:F79" si="24">AVERAGE(D75:D78)</f>
        <v>-1.5986212579130119E-2</v>
      </c>
      <c r="E79" s="450">
        <f t="shared" si="24"/>
        <v>8.263354161644193E-2</v>
      </c>
      <c r="F79" s="461">
        <f t="shared" si="24"/>
        <v>0.23994625235938616</v>
      </c>
      <c r="J79" s="422"/>
      <c r="K79" s="434"/>
      <c r="L79" s="434"/>
      <c r="M79" s="434"/>
      <c r="N79" s="460"/>
    </row>
    <row r="80" spans="2:20" ht="14.25" customHeight="1">
      <c r="J80" s="445"/>
      <c r="K80" s="462"/>
      <c r="L80" s="462"/>
      <c r="M80" s="462"/>
      <c r="N80" s="462"/>
    </row>
    <row r="81" spans="2:7" ht="14.25" customHeight="1"/>
    <row r="82" spans="2:7" ht="14.25" customHeight="1">
      <c r="B82" s="826" t="s">
        <v>520</v>
      </c>
      <c r="C82" s="827"/>
      <c r="D82" s="827"/>
      <c r="E82" s="827"/>
      <c r="F82" s="827"/>
    </row>
    <row r="83" spans="2:7" ht="14.25" customHeight="1">
      <c r="B83" s="613"/>
      <c r="C83" s="614" t="s">
        <v>474</v>
      </c>
      <c r="D83" s="614" t="s">
        <v>475</v>
      </c>
      <c r="E83" s="614" t="s">
        <v>476</v>
      </c>
      <c r="F83" s="619" t="s">
        <v>477</v>
      </c>
    </row>
    <row r="84" spans="2:7" ht="14.25" customHeight="1">
      <c r="B84" s="422">
        <v>2020</v>
      </c>
      <c r="C84" s="434"/>
      <c r="D84" s="434">
        <f>('SQURPHARMA Earnings Model T-1'!E104-'SQURPHARMA Earnings Model T-1'!D104)/'SQURPHARMA Earnings Model T-1'!D104</f>
        <v>0.14800432216858891</v>
      </c>
      <c r="E84" s="434"/>
      <c r="F84" s="460"/>
    </row>
    <row r="85" spans="2:7" ht="14.25" customHeight="1">
      <c r="B85" s="422">
        <v>2021</v>
      </c>
      <c r="C85" s="434">
        <f>('SQURPHARMA Earnings Model T-1'!I104-'SQURPHARMA Earnings Model T-1'!G104)/'SQURPHARMA Earnings Model T-1'!G104</f>
        <v>-1</v>
      </c>
      <c r="D85" s="434" t="e">
        <f>('SQURPHARMA Earnings Model T-1'!J104-'SQURPHARMA Earnings Model T-1'!I104)/'SQURPHARMA Earnings Model T-1'!I104</f>
        <v>#DIV/0!</v>
      </c>
      <c r="E85" s="434">
        <f>('SQURPHARMA Earnings Model T-1'!K104-'SQURPHARMA Earnings Model T-1'!J104)/'SQURPHARMA Earnings Model T-1'!J104</f>
        <v>-0.35634448970525828</v>
      </c>
      <c r="F85" s="460">
        <f>('SQURPHARMA Earnings Model T-1'!L104-'SQURPHARMA Earnings Model T-1'!K104)/'SQURPHARMA Earnings Model T-1'!K104</f>
        <v>0.30487796234542031</v>
      </c>
    </row>
    <row r="86" spans="2:7" ht="14.25" customHeight="1">
      <c r="B86" s="422">
        <v>2022</v>
      </c>
      <c r="C86" s="434">
        <f>('SQURPHARMA Earnings Model T-1'!N104-'SQURPHARMA Earnings Model T-1'!L104)/'SQURPHARMA Earnings Model T-1'!L104</f>
        <v>0.59400379091555344</v>
      </c>
      <c r="D86" s="434">
        <f>('SQURPHARMA Earnings Model T-1'!O104-'SQURPHARMA Earnings Model T-1'!N104)/'SQURPHARMA Earnings Model T-1'!N104</f>
        <v>0.21322548281398515</v>
      </c>
      <c r="E86" s="434">
        <f>('SQURPHARMA Earnings Model T-1'!P104-'SQURPHARMA Earnings Model T-1'!O104)/'SQURPHARMA Earnings Model T-1'!O104</f>
        <v>-0.22736136544827007</v>
      </c>
      <c r="F86" s="460">
        <f>('SQURPHARMA Earnings Model T-1'!Q104-'SQURPHARMA Earnings Model T-1'!P104)/'SQURPHARMA Earnings Model T-1'!P104</f>
        <v>-0.73854300755298108</v>
      </c>
    </row>
    <row r="87" spans="2:7" ht="14.25" customHeight="1">
      <c r="B87" s="422">
        <v>2023</v>
      </c>
      <c r="C87" s="434">
        <f>('SQURPHARMA Earnings Model T-1'!S104-'SQURPHARMA Earnings Model T-1'!Q104)/'SQURPHARMA Earnings Model T-1'!Q104</f>
        <v>1.6101521267804206</v>
      </c>
      <c r="D87" s="434">
        <f>('SQURPHARMA Earnings Model T-1'!T104-'SQURPHARMA Earnings Model T-1'!S104)/'SQURPHARMA Earnings Model T-1'!S104</f>
        <v>0.12480561946502974</v>
      </c>
      <c r="E87" s="434">
        <f>('SQURPHARMA Earnings Model T-1'!U104-'SQURPHARMA Earnings Model T-1'!T104)/'SQURPHARMA Earnings Model T-1'!T104</f>
        <v>0.17575825703137446</v>
      </c>
      <c r="F87" s="460">
        <f>('SQURPHARMA Earnings Model T-1'!V104-'SQURPHARMA Earnings Model T-1'!U104)/'SQURPHARMA Earnings Model T-1'!U104</f>
        <v>-0.25784680914612429</v>
      </c>
    </row>
    <row r="88" spans="2:7" ht="14.25" customHeight="1">
      <c r="B88" s="422">
        <v>2024</v>
      </c>
      <c r="C88" s="434">
        <f>('SQURPHARMA Earnings Model T-1'!X104-'SQURPHARMA Earnings Model T-1'!V104)/'SQURPHARMA Earnings Model T-1'!V104</f>
        <v>0.18380875694351417</v>
      </c>
      <c r="D88" s="434">
        <f>('SQURPHARMA Earnings Model T-1'!Y104-'SQURPHARMA Earnings Model T-1'!X104)/'SQURPHARMA Earnings Model T-1'!X104</f>
        <v>0.18056976699887001</v>
      </c>
      <c r="E88" s="434">
        <f>('SQURPHARMA Earnings Model T-1'!Z104-'SQURPHARMA Earnings Model T-1'!Y104)/'SQURPHARMA Earnings Model T-1'!Y104</f>
        <v>0.28405277888559938</v>
      </c>
      <c r="F88" s="460"/>
    </row>
    <row r="89" spans="2:7" ht="14.25" customHeight="1">
      <c r="B89" s="445" t="s">
        <v>492</v>
      </c>
      <c r="C89" s="462">
        <f>AVERAGE(C84:C88)</f>
        <v>0.34699116865987201</v>
      </c>
      <c r="D89" s="462">
        <f>AVERAGE(D86:D88,D84)</f>
        <v>0.16665129786161847</v>
      </c>
      <c r="E89" s="462">
        <f t="shared" ref="E89:F89" si="25">AVERAGE(E84:E88)</f>
        <v>-3.0973704809138622E-2</v>
      </c>
      <c r="F89" s="462">
        <f t="shared" si="25"/>
        <v>-0.23050395145122837</v>
      </c>
      <c r="G89" s="430"/>
    </row>
    <row r="90" spans="2:7" ht="14.25" customHeight="1"/>
    <row r="91" spans="2:7" ht="14.25" customHeight="1"/>
    <row r="92" spans="2:7" ht="14.25" customHeight="1"/>
    <row r="93" spans="2:7" ht="14.25" customHeight="1"/>
    <row r="94" spans="2:7" ht="14.25" customHeight="1"/>
    <row r="95" spans="2:7" ht="14.25" customHeight="1"/>
    <row r="96" spans="2:7" ht="14.25" customHeight="1"/>
    <row r="97" spans="7:10" ht="14.25" customHeight="1">
      <c r="J97" s="202"/>
    </row>
    <row r="98" spans="7:10" ht="14.25" customHeight="1">
      <c r="G98" s="202"/>
    </row>
    <row r="99" spans="7:10" ht="14.25" customHeight="1"/>
    <row r="100" spans="7:10" ht="14.25" customHeight="1"/>
    <row r="101" spans="7:10" ht="14.25" customHeight="1"/>
    <row r="102" spans="7:10" ht="14.25" customHeight="1"/>
    <row r="103" spans="7:10" ht="14.25" customHeight="1"/>
    <row r="104" spans="7:10" ht="14.25" customHeight="1"/>
    <row r="105" spans="7:10" ht="14.25" customHeight="1"/>
    <row r="106" spans="7:10" ht="14.25" customHeight="1"/>
    <row r="107" spans="7:10" ht="14.25" customHeight="1"/>
    <row r="108" spans="7:10" ht="14.25" customHeight="1"/>
    <row r="109" spans="7:10" ht="14.25" customHeight="1"/>
    <row r="110" spans="7:10" ht="14.25" customHeight="1"/>
    <row r="111" spans="7:10" ht="14.25" customHeight="1"/>
    <row r="112" spans="7:10"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Q1:Y1"/>
    <mergeCell ref="BE2:BH2"/>
    <mergeCell ref="B3:F3"/>
    <mergeCell ref="B12:F12"/>
    <mergeCell ref="B21:F21"/>
    <mergeCell ref="L21:P21"/>
    <mergeCell ref="L29:P29"/>
    <mergeCell ref="B67:H67"/>
    <mergeCell ref="B68:E68"/>
    <mergeCell ref="B69:E69"/>
    <mergeCell ref="J73:N73"/>
    <mergeCell ref="P73:T73"/>
    <mergeCell ref="B82:F82"/>
    <mergeCell ref="B30:F30"/>
    <mergeCell ref="B39:F39"/>
    <mergeCell ref="L39:P39"/>
    <mergeCell ref="B48:F48"/>
    <mergeCell ref="C58:F58"/>
    <mergeCell ref="G58:J58"/>
    <mergeCell ref="K58:N58"/>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SQURPHARMA Earnings Model T-1</vt:lpstr>
      <vt:lpstr>Beta </vt:lpstr>
      <vt:lpstr>SR &amp; Volatility workings</vt:lpstr>
      <vt:lpstr>DDM</vt:lpstr>
      <vt:lpstr>PE</vt:lpstr>
      <vt:lpstr>Sensitivity Analysis</vt:lpstr>
      <vt:lpstr>Peer Comparison</vt:lpstr>
      <vt:lpstr>Altman Z Score</vt:lpstr>
      <vt:lpstr>Beneish Model</vt:lpstr>
      <vt:lpstr>Workings</vt:lpstr>
      <vt:lpstr>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2025-12-15T15:57:09Z</dcterms:modified>
</cp:coreProperties>
</file>